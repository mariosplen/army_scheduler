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ΔΝ" sheetId="1" state="visible" r:id="rId3"/>
    <sheet name="ΑΡΓΙΕΣ" sheetId="2" state="visible" r:id="rId4"/>
    <sheet name="ΓΕΠ" sheetId="3" state="visible" r:id="rId5"/>
    <sheet name="ΗΣΑ1" sheetId="4" state="visible" r:id="rId6"/>
    <sheet name="ΗΣΑ2" sheetId="5" state="visible" r:id="rId7"/>
    <sheet name="ΗΣΑ3" sheetId="6" state="visible" r:id="rId8"/>
    <sheet name="ΑΡΧΙΦΥΛΑΚΑΣ" sheetId="7" state="visible" r:id="rId9"/>
    <sheet name="ΕΑΣ" sheetId="8" state="visible" r:id="rId10"/>
    <sheet name="ΑΥΔΜ ΛΣ" sheetId="9" state="visible" r:id="rId11"/>
    <sheet name="ΑΥΔΜ ΛΣΝ" sheetId="10" state="visible" r:id="rId12"/>
    <sheet name="ΜΑΓΕΙΡΑΣ" sheetId="11" state="visible" r:id="rId13"/>
    <sheet name="ΦΕΒ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<sst xmlns="http://schemas.openxmlformats.org/spreadsheetml/2006/main" count="1222" uniqueCount="172">
  <si>
    <t xml:space="preserve">ΠΑΠΑΔΟΠΟΥΛΟΣ</t>
  </si>
  <si>
    <t xml:space="preserve">ΠΡΩΤΟΧΡΟΝΙΑ</t>
  </si>
  <si>
    <t xml:space="preserve">ΘΕΟΦΑΝΕΙΑ</t>
  </si>
  <si>
    <t xml:space="preserve">25Η ΜΑΡΤΙΟΥ</t>
  </si>
  <si>
    <t xml:space="preserve">ΠΡΩΤΟΜΑΓΙΑ</t>
  </si>
  <si>
    <t xml:space="preserve">15ΑΥΓΟΥΣΤΟΣ</t>
  </si>
  <si>
    <t xml:space="preserve">28Η ΟΚΤΟΜΒΡΙΟΥ</t>
  </si>
  <si>
    <t xml:space="preserve">ΗΜΕΡΑ ΕΝΟΠΛΩΝ ΔΥΝΑΜΕΩΝ</t>
  </si>
  <si>
    <t xml:space="preserve">ΧΡΙΣΤΟΥΓΕΝΝΑ</t>
  </si>
  <si>
    <t xml:space="preserve">ΔΕΥΤΕΡΑ ΜΕΡΑ ΧΡΙΣΤΟΥΓΕΝΝΩΝ</t>
  </si>
  <si>
    <t xml:space="preserve">ΚΑΘΑΡΑ ΔΕΥΤΕΡΑ</t>
  </si>
  <si>
    <t xml:space="preserve">ΚΙΝΗΤΕΣ ΑΡΓΙΕΣ</t>
  </si>
  <si>
    <t xml:space="preserve">ΜΕΓΑΛΗ ΠΑΡΑΣΚΕΥΗ</t>
  </si>
  <si>
    <t xml:space="preserve">ΚΥΡΙΑΚΗ ΤΟΥ ΠΑΣΧΑ</t>
  </si>
  <si>
    <t xml:space="preserve">ΔΕΥΤΕΡΑ ΤΟΥ ΠΑΣΧΑ</t>
  </si>
  <si>
    <t xml:space="preserve">ΑΓΙΟΥ ΠΝΕΥΜΑΤΟΣ</t>
  </si>
  <si>
    <t xml:space="preserve">ΕΠΟΠ ΣΤΡ ΠΑΠΑΔΟΠΟΥΛΟΣ</t>
  </si>
  <si>
    <t xml:space="preserve">ΕΠΧΙΑΣ ΠΑΠΠΑΣ</t>
  </si>
  <si>
    <t xml:space="preserve">ΕΠΧΙΑΣ ΠΑΠΑΔΟΠΟΥΛΟΣ</t>
  </si>
  <si>
    <t xml:space="preserve">ΑΝΘΣΤΗΣ ΠΑΠΑΔΟΠΟΥΛΟΣ</t>
  </si>
  <si>
    <t xml:space="preserve">ΑΛΧΙΑΣ ΠΑΠΑΔΟΠΟΥΛΟΣ</t>
  </si>
  <si>
    <t xml:space="preserve">Α/Α</t>
  </si>
  <si>
    <t xml:space="preserve">ΟΝΟΜΑ</t>
  </si>
  <si>
    <t xml:space="preserve">ΚΑΘΗΚΟΝΤΑ</t>
  </si>
  <si>
    <t xml:space="preserve">ΥΠ</t>
  </si>
  <si>
    <t xml:space="preserve">ΕΞ</t>
  </si>
  <si>
    <t xml:space="preserve">ΑΜ</t>
  </si>
  <si>
    <t xml:space="preserve">ΤΗΛΕΦΩΝΟ</t>
  </si>
  <si>
    <t xml:space="preserve">ΜΟΝΑΔΑ</t>
  </si>
  <si>
    <t xml:space="preserve">Σ.ΙΚ.</t>
  </si>
  <si>
    <t xml:space="preserve">ΠΑΡ/ΣΕΙΣ</t>
  </si>
  <si>
    <t xml:space="preserve">ΒΑΘΜΟΣ</t>
  </si>
  <si>
    <t xml:space="preserve">ΕΣΣΟ</t>
  </si>
  <si>
    <t xml:space="preserve">ΗΜ/ΝΙΑ ΠΑΡΟΥΣΙΑΣΗΣ</t>
  </si>
  <si>
    <t xml:space="preserve">ΠΑΠΑΔΟΠΟΥΛΟΣ1</t>
  </si>
  <si>
    <t xml:space="preserve">ΚΥΛΙΚΕΙΟ</t>
  </si>
  <si>
    <t xml:space="preserve">111/000000/00</t>
  </si>
  <si>
    <t xml:space="preserve">ΛΣ</t>
  </si>
  <si>
    <t xml:space="preserve">Ι2</t>
  </si>
  <si>
    <t xml:space="preserve">ΣΤΡ(ΔΒ-ΗΠ)</t>
  </si>
  <si>
    <t xml:space="preserve">25Ε</t>
  </si>
  <si>
    <t xml:space="preserve">ΑΔΕΙΑ</t>
  </si>
  <si>
    <t xml:space="preserve">ΚΥΛ</t>
  </si>
  <si>
    <t xml:space="preserve">ΠΑΠΑΔΟΠΟΥΛΟΣ2</t>
  </si>
  <si>
    <t xml:space="preserve">111/000000/01</t>
  </si>
  <si>
    <t xml:space="preserve">Δ'ΕΑΝ</t>
  </si>
  <si>
    <t xml:space="preserve">Ι1</t>
  </si>
  <si>
    <t xml:space="preserve">ΣΤΡ(ΤΘ)</t>
  </si>
  <si>
    <t xml:space="preserve">25ΣΤ</t>
  </si>
  <si>
    <t xml:space="preserve">ΤΕΛΟΣ</t>
  </si>
  <si>
    <t xml:space="preserve">ΣΚ1</t>
  </si>
  <si>
    <t xml:space="preserve">ΣΚ2</t>
  </si>
  <si>
    <t xml:space="preserve">ΔΙΑΘ</t>
  </si>
  <si>
    <t xml:space="preserve">ΠΑΠΑΔΟΠΟΥΛΟΣ3</t>
  </si>
  <si>
    <t xml:space="preserve">ΦΥΛΑΞΗ</t>
  </si>
  <si>
    <t xml:space="preserve">111/000000/02</t>
  </si>
  <si>
    <t xml:space="preserve">ΔΝΕΑΣ(ΠΖ)</t>
  </si>
  <si>
    <t xml:space="preserve">25Γ</t>
  </si>
  <si>
    <t xml:space="preserve">ΛΥΛ</t>
  </si>
  <si>
    <t xml:space="preserve">ΕΥ</t>
  </si>
  <si>
    <t xml:space="preserve">ΠΑΠΑΔΟΠΟΥΛΟΣ4</t>
  </si>
  <si>
    <t xml:space="preserve">ΓΕΠ</t>
  </si>
  <si>
    <t xml:space="preserve">111/000000/03</t>
  </si>
  <si>
    <t xml:space="preserve">Ι4</t>
  </si>
  <si>
    <t xml:space="preserve">ΠΑΠΑΔΟΠΟΥΛΟΣ5</t>
  </si>
  <si>
    <t xml:space="preserve">111/000000/04</t>
  </si>
  <si>
    <t xml:space="preserve">ΣΤΡ(ΥΠ)</t>
  </si>
  <si>
    <t xml:space="preserve">ΠΑΠΑΔΟΠΟΥΛΟΣ6</t>
  </si>
  <si>
    <t xml:space="preserve">111/000000/05</t>
  </si>
  <si>
    <t xml:space="preserve">221 ΕΜΑ</t>
  </si>
  <si>
    <t xml:space="preserve">ΠΑΠΑΔΟΠΟΥΛΟΣ7</t>
  </si>
  <si>
    <t xml:space="preserve">111/000000/06</t>
  </si>
  <si>
    <t xml:space="preserve">508 Μ/Κ ΤΠ</t>
  </si>
  <si>
    <t xml:space="preserve">ΣΤΡ(ΠΖ)</t>
  </si>
  <si>
    <t xml:space="preserve">ΠΑΠΑΔΟΠΟΥΛΟΣ8</t>
  </si>
  <si>
    <t xml:space="preserve">ΔΠΒ</t>
  </si>
  <si>
    <t xml:space="preserve">111/000000/07</t>
  </si>
  <si>
    <t xml:space="preserve">188 Π.ΠΑΡ</t>
  </si>
  <si>
    <t xml:space="preserve">ΣΤΡ(ΠΒ)</t>
  </si>
  <si>
    <t xml:space="preserve">ΠΑΠΑΔΟΠΟΥΛΟΣ9</t>
  </si>
  <si>
    <t xml:space="preserve">111/000000/08</t>
  </si>
  <si>
    <t xml:space="preserve">ΠΑΠΑΔΟΠΟΥΛΟΣ10</t>
  </si>
  <si>
    <t xml:space="preserve">111/000000/09</t>
  </si>
  <si>
    <t xml:space="preserve">ΣΚ3</t>
  </si>
  <si>
    <t xml:space="preserve">ΠΑΠΑΔΟΠΟΥΛΟΣ11</t>
  </si>
  <si>
    <t xml:space="preserve">ΛΑΦ</t>
  </si>
  <si>
    <t xml:space="preserve">111/000000/10</t>
  </si>
  <si>
    <t xml:space="preserve">ΔΙΑΘΕΣΗ ΛΑΦ</t>
  </si>
  <si>
    <t xml:space="preserve">25Δ</t>
  </si>
  <si>
    <t xml:space="preserve">ΠΑΠΑΔΟΠΟΥΛΟΣ12</t>
  </si>
  <si>
    <t xml:space="preserve">ΕΣΤ</t>
  </si>
  <si>
    <t xml:space="preserve">111/000000/11</t>
  </si>
  <si>
    <t xml:space="preserve">ΠΑΠΑΔΟΠΟΥΛΟΣ13</t>
  </si>
  <si>
    <t xml:space="preserve">111/000000/12</t>
  </si>
  <si>
    <t xml:space="preserve">3 ΤΥΠ</t>
  </si>
  <si>
    <t xml:space="preserve">ΠΑΠΑΔΟΠΟΥΛΟΣ14</t>
  </si>
  <si>
    <t xml:space="preserve">111/000000/13</t>
  </si>
  <si>
    <t xml:space="preserve">ΠΑΠΑΔΟΠΟΥΛΟΣ15</t>
  </si>
  <si>
    <t xml:space="preserve">ΚΨΜ</t>
  </si>
  <si>
    <t xml:space="preserve">111/000000/14</t>
  </si>
  <si>
    <t xml:space="preserve">16 ΤΥΠ</t>
  </si>
  <si>
    <t xml:space="preserve">ΣΤΡ(ΤΧ)</t>
  </si>
  <si>
    <t xml:space="preserve">ΘΑΛ3</t>
  </si>
  <si>
    <t xml:space="preserve">ΠΑΠΑΔΟΠΟΥΛΟΣ16</t>
  </si>
  <si>
    <t xml:space="preserve">111/000000/15</t>
  </si>
  <si>
    <t xml:space="preserve">616 Μ/Κ ΤΠ</t>
  </si>
  <si>
    <t xml:space="preserve">ΠΑΠΑΔΟΠΟΥΛΟΣ17</t>
  </si>
  <si>
    <t xml:space="preserve">111/000000/16</t>
  </si>
  <si>
    <t xml:space="preserve">618 Μ/Κ ΤΠ</t>
  </si>
  <si>
    <t xml:space="preserve">ΘΑΛ1</t>
  </si>
  <si>
    <t xml:space="preserve">ΠΑΠΑΔΟΠΟΥΛΟΣ18</t>
  </si>
  <si>
    <t xml:space="preserve">111/000000/17</t>
  </si>
  <si>
    <t xml:space="preserve">ΣΤ(ΔΒ-ΗΠ)</t>
  </si>
  <si>
    <t xml:space="preserve">ΠΑΠΑΔΟΠΟΥΛΟΣ19</t>
  </si>
  <si>
    <t xml:space="preserve">111/000000/18</t>
  </si>
  <si>
    <t xml:space="preserve">ΠΑΠΑΔΟΠΟΥΛΟΣ20</t>
  </si>
  <si>
    <t xml:space="preserve">111/000000/19</t>
  </si>
  <si>
    <t xml:space="preserve">Ι3Α</t>
  </si>
  <si>
    <t xml:space="preserve">ΠΑΠΑΔΟΠΟΥΛΟΣ21</t>
  </si>
  <si>
    <t xml:space="preserve">111/000000/20</t>
  </si>
  <si>
    <t xml:space="preserve">ΠΑΠΑΔΟΠΟΥΛΟΣ22</t>
  </si>
  <si>
    <t xml:space="preserve">ΤΑΧ</t>
  </si>
  <si>
    <t xml:space="preserve">111/000000/21</t>
  </si>
  <si>
    <t xml:space="preserve">ΣΤΡ(ΤΔ)</t>
  </si>
  <si>
    <t xml:space="preserve">ΠΑΠΑΔΟΠΟΥΛΟΣ23</t>
  </si>
  <si>
    <t xml:space="preserve">111/000000/22</t>
  </si>
  <si>
    <t xml:space="preserve">117 Α/Κ ΜΜΠ</t>
  </si>
  <si>
    <t xml:space="preserve">ΠΑΠΑΔΟΠΟΥΛΟΣ24</t>
  </si>
  <si>
    <t xml:space="preserve">111/000000/23</t>
  </si>
  <si>
    <t xml:space="preserve">ΠΑΠΑΔΟΠΟΥΛΟΣ25</t>
  </si>
  <si>
    <t xml:space="preserve">111/000000/24</t>
  </si>
  <si>
    <t xml:space="preserve">163 Α/Κ ΜΜΠ</t>
  </si>
  <si>
    <t xml:space="preserve">ΠΑΠΑΔΟΠΟΥΛΟΣ26</t>
  </si>
  <si>
    <t xml:space="preserve">111/000000/25</t>
  </si>
  <si>
    <t xml:space="preserve">3 ΛΜΧ</t>
  </si>
  <si>
    <t xml:space="preserve">ΣΤΡ(ΜΧ)</t>
  </si>
  <si>
    <t xml:space="preserve">ΠΑΠΑΔΟΠΟΥΛΟΣ27</t>
  </si>
  <si>
    <t xml:space="preserve">111/000000/26</t>
  </si>
  <si>
    <t xml:space="preserve">ΠΑΠΑΔΟΠΟΥΛΟΣ28</t>
  </si>
  <si>
    <t xml:space="preserve">111/000000/27</t>
  </si>
  <si>
    <t xml:space="preserve">ΠΑΠΑΔΟΠΟΥΛΟΣ29</t>
  </si>
  <si>
    <t xml:space="preserve">111/000000/28</t>
  </si>
  <si>
    <t xml:space="preserve">617 Μ/Κ ΤΠ</t>
  </si>
  <si>
    <t xml:space="preserve">ΠΑΠΑΔΟΠΟΥΛΟΣ30</t>
  </si>
  <si>
    <t xml:space="preserve">111/000000/29</t>
  </si>
  <si>
    <t xml:space="preserve">ΠΑΠΑΔΟΠΟΥΛΟΣ31</t>
  </si>
  <si>
    <t xml:space="preserve">111/000000/30</t>
  </si>
  <si>
    <t xml:space="preserve">ΠΑΠΑΔΟΠΟΥΛΟΣ32</t>
  </si>
  <si>
    <t xml:space="preserve">111/000000/31</t>
  </si>
  <si>
    <t xml:space="preserve">ΠΑΠΑΔΟΠΟΥΛΟΣ33</t>
  </si>
  <si>
    <t xml:space="preserve">111/000000/32</t>
  </si>
  <si>
    <t xml:space="preserve">ΠΑΠΑΔΟΠΟΥΛΟΣ34</t>
  </si>
  <si>
    <t xml:space="preserve">111/000000/33</t>
  </si>
  <si>
    <t xml:space="preserve">Ι3Ε</t>
  </si>
  <si>
    <t xml:space="preserve">ΠΑΠΑΔΟΠΟΥΛΟΣ35</t>
  </si>
  <si>
    <t xml:space="preserve">111/000000/34</t>
  </si>
  <si>
    <t xml:space="preserve">ΠΑΠΑΔΟΠΟΥΛΟΣ36</t>
  </si>
  <si>
    <t xml:space="preserve">111/000000/35</t>
  </si>
  <si>
    <t xml:space="preserve">ΠΑΠΑΔΟΠΟΥΛΟΣ37</t>
  </si>
  <si>
    <t xml:space="preserve">111/000000/36</t>
  </si>
  <si>
    <t xml:space="preserve">I1</t>
  </si>
  <si>
    <t xml:space="preserve">ΠΑΠΑΔΟΠΟΥΛΟΣ38</t>
  </si>
  <si>
    <t xml:space="preserve">111/000000/37</t>
  </si>
  <si>
    <t xml:space="preserve">ΣΤΡ(ΠZ)</t>
  </si>
  <si>
    <t xml:space="preserve">ΠΑΠΑΔΟΠΟΥΛΟΣ39</t>
  </si>
  <si>
    <t xml:space="preserve">ΔΜΧ</t>
  </si>
  <si>
    <t xml:space="preserve">111/000000/38</t>
  </si>
  <si>
    <t xml:space="preserve">30 ΛΜΧ</t>
  </si>
  <si>
    <t xml:space="preserve">ΠΡΑΤΗΡΙΟ1</t>
  </si>
  <si>
    <t xml:space="preserve">ΕΝΙΣΧΥΣΗ</t>
  </si>
  <si>
    <t xml:space="preserve">ΠΡΑΤΗΡΙΟ2</t>
  </si>
  <si>
    <t xml:space="preserve">ΘΑΛ2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</si>
</sst>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&quot; €&quot;_-;\-* #,##0.00&quot; €&quot;_-;_-* \-??&quot; €&quot;_-;_-@_-"/>
    <numFmt numFmtId="166" formatCode="0%"/>
    <numFmt numFmtId="167" formatCode="d/m/yyyy"/>
  </numFmts>
  <fonts count="12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61"/>
    </font>
    <font>
      <sz val="10"/>
      <name val="Arial Greek"/>
      <family val="0"/>
      <charset val="161"/>
    </font>
    <font>
      <sz val="11"/>
      <color rgb="FF000000"/>
      <name val="Calibri"/>
      <family val="2"/>
      <charset val="161"/>
    </font>
    <font>
      <sz val="14"/>
      <color theme="1"/>
      <name val="Calibri"/>
      <family val="2"/>
      <charset val="161"/>
    </font>
    <font>
      <b val="true"/>
      <sz val="11"/>
      <color theme="1"/>
      <name val="Calibri"/>
      <family val="2"/>
      <charset val="161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61"/>
    </font>
    <font>
      <sz val="11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5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3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Euro 2 2" xfId="22"/>
    <cellStyle name="Euro 3" xfId="23"/>
    <cellStyle name="Normal 2" xfId="24"/>
    <cellStyle name="Βασικό_ΥΠΗΡΕΣΙΕΣ ΑΠΡ-ΜΑΙ_2016_2CR_A" xfId="25"/>
    <cellStyle name="Κανονικό 10" xfId="26"/>
    <cellStyle name="Κανονικό 2" xfId="27"/>
    <cellStyle name="Κανονικό 2 2" xfId="28"/>
    <cellStyle name="Κανονικό 2 2 2" xfId="29"/>
    <cellStyle name="Κανονικό 2 2 3" xfId="30"/>
    <cellStyle name="Κανονικό 2 3" xfId="31"/>
    <cellStyle name="Κανονικό 2 4" xfId="32"/>
    <cellStyle name="Κανονικό 2 5" xfId="33"/>
    <cellStyle name="Κανονικό 3" xfId="34"/>
    <cellStyle name="Κανονικό 3 2" xfId="35"/>
    <cellStyle name="Κανονικό 3 2 2" xfId="36"/>
    <cellStyle name="Κανονικό 3 2 3" xfId="37"/>
    <cellStyle name="Κανονικό 3 3" xfId="38"/>
    <cellStyle name="Κανονικό 3 4" xfId="39"/>
    <cellStyle name="Κανονικό 4" xfId="40"/>
    <cellStyle name="Κανονικό 4 2" xfId="41"/>
    <cellStyle name="Κανονικό 5" xfId="42"/>
    <cellStyle name="Κανονικό 5 2" xfId="43"/>
    <cellStyle name="Κανονικό 6" xfId="44"/>
    <cellStyle name="Κανονικό 7" xfId="45"/>
    <cellStyle name="Κανονικό 8" xfId="46"/>
    <cellStyle name="Κανονικό 9" xfId="47"/>
    <cellStyle name="Ποσοστό 2" xfId="48"/>
    <cellStyle name="Στυλ 1" xfId="49"/>
  </cellStyles>
  <dxfs count="7">
    <dxf>
      <font>
        <b val="1"/>
        <i val="0"/>
        <color rgb="FF000000"/>
      </font>
      <fill>
        <patternFill>
          <bgColor theme="6" tint="-0.25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color rgb="FF000000"/>
      </font>
      <fill>
        <patternFill>
          <bgColor theme="5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color rgb="FF000000"/>
      </font>
      <fill>
        <patternFill>
          <bgColor theme="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color rgb="FF000000"/>
      </font>
      <fill>
        <patternFill>
          <bgColor theme="4" tint="-0.25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color rgb="FF000000"/>
      </font>
      <fill>
        <patternFill>
          <bgColor theme="3" tint="0.3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strike val="0"/>
        <color rgb="FF000000"/>
      </font>
      <fill>
        <patternFill>
          <bgColor theme="3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i val="0"/>
        <color rgb="FFFFFFFF"/>
      </font>
      <fill>
        <patternFill>
          <bgColor theme="1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558ED5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6"/>
  </cols>
  <sheetData>
    <row r="1" customFormat="false" ht="15" hidden="false" customHeight="false" outlineLevel="0" collapsed="false">
      <c r="A1" s="2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30.29"/>
  </cols>
  <sheetData>
    <row r="1" customFormat="false" ht="15" hidden="false" customHeight="false" outlineLevel="0" collapsed="false">
      <c r="A1" s="3" t="n">
        <v>46023</v>
      </c>
      <c r="B1" s="4" t="s">
        <v>1</v>
      </c>
      <c r="C1" s="4"/>
    </row>
    <row r="2" customFormat="false" ht="15" hidden="false" customHeight="false" outlineLevel="0" collapsed="false">
      <c r="A2" s="3" t="n">
        <v>46028</v>
      </c>
      <c r="B2" s="4" t="s">
        <v>2</v>
      </c>
      <c r="C2" s="4"/>
    </row>
    <row r="3" customFormat="false" ht="15" hidden="false" customHeight="true" outlineLevel="0" collapsed="false">
      <c r="A3" s="3" t="n">
        <v>46106</v>
      </c>
      <c r="B3" s="5" t="s">
        <v>3</v>
      </c>
      <c r="C3" s="5"/>
    </row>
    <row r="4" customFormat="false" ht="15" hidden="false" customHeight="false" outlineLevel="0" collapsed="false">
      <c r="A4" s="3" t="n">
        <v>46143</v>
      </c>
      <c r="B4" s="4" t="s">
        <v>4</v>
      </c>
      <c r="C4" s="4"/>
    </row>
    <row r="5" customFormat="false" ht="15" hidden="false" customHeight="false" outlineLevel="0" collapsed="false">
      <c r="A5" s="3" t="n">
        <v>46249</v>
      </c>
      <c r="B5" s="4" t="s">
        <v>5</v>
      </c>
      <c r="C5" s="4"/>
    </row>
    <row r="6" customFormat="false" ht="15" hidden="false" customHeight="false" outlineLevel="0" collapsed="false">
      <c r="A6" s="3" t="n">
        <v>46323</v>
      </c>
      <c r="B6" s="4" t="s">
        <v>6</v>
      </c>
      <c r="C6" s="4"/>
    </row>
    <row r="7" customFormat="false" ht="15" hidden="false" customHeight="false" outlineLevel="0" collapsed="false">
      <c r="A7" s="3" t="n">
        <v>46347</v>
      </c>
      <c r="B7" s="4" t="s">
        <v>7</v>
      </c>
      <c r="C7" s="4"/>
    </row>
    <row r="8" customFormat="false" ht="15" hidden="false" customHeight="false" outlineLevel="0" collapsed="false">
      <c r="A8" s="3" t="n">
        <v>46381</v>
      </c>
      <c r="B8" s="4" t="s">
        <v>8</v>
      </c>
      <c r="C8" s="4"/>
    </row>
    <row r="9" customFormat="false" ht="15" hidden="false" customHeight="false" outlineLevel="0" collapsed="false">
      <c r="A9" s="3" t="n">
        <v>46382</v>
      </c>
      <c r="B9" s="4" t="s">
        <v>9</v>
      </c>
      <c r="C9" s="4"/>
    </row>
    <row r="10" customFormat="false" ht="15" hidden="false" customHeight="true" outlineLevel="0" collapsed="false">
      <c r="A10" s="6" t="n">
        <v>46076</v>
      </c>
      <c r="B10" s="7" t="s">
        <v>10</v>
      </c>
      <c r="C10" s="8" t="s">
        <v>11</v>
      </c>
    </row>
    <row r="11" customFormat="false" ht="15" hidden="false" customHeight="false" outlineLevel="0" collapsed="false">
      <c r="A11" s="6" t="n">
        <v>46122</v>
      </c>
      <c r="B11" s="7" t="s">
        <v>12</v>
      </c>
      <c r="C11" s="8"/>
    </row>
    <row r="12" customFormat="false" ht="15" hidden="false" customHeight="false" outlineLevel="0" collapsed="false">
      <c r="A12" s="6" t="n">
        <v>46124</v>
      </c>
      <c r="B12" s="7" t="s">
        <v>13</v>
      </c>
      <c r="C12" s="8"/>
    </row>
    <row r="13" customFormat="false" ht="15" hidden="false" customHeight="false" outlineLevel="0" collapsed="false">
      <c r="A13" s="6" t="n">
        <v>46125</v>
      </c>
      <c r="B13" s="7" t="s">
        <v>14</v>
      </c>
      <c r="C13" s="8"/>
    </row>
    <row r="14" customFormat="false" ht="15" hidden="false" customHeight="false" outlineLevel="0" collapsed="false">
      <c r="A14" s="6" t="n">
        <v>46174</v>
      </c>
      <c r="B14" s="7" t="s">
        <v>15</v>
      </c>
      <c r="C14" s="8"/>
    </row>
  </sheetData>
  <mergeCells count="10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C10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29.14"/>
  </cols>
  <sheetData>
    <row r="1" customFormat="false" ht="15" hidden="false" customHeight="false" outlineLevel="0" collapsed="false">
      <c r="A1" s="9" t="n">
        <v>46064</v>
      </c>
      <c r="B1" s="10" t="s">
        <v>16</v>
      </c>
    </row>
    <row r="2" customFormat="false" ht="15" hidden="false" customHeight="false" outlineLevel="0" collapsed="false">
      <c r="A2" s="9" t="n">
        <v>46066</v>
      </c>
      <c r="B2" s="10" t="s">
        <v>17</v>
      </c>
    </row>
    <row r="3" customFormat="false" ht="15" hidden="false" customHeight="false" outlineLevel="0" collapsed="false">
      <c r="A3" s="9"/>
      <c r="B3" s="10"/>
    </row>
    <row r="4" customFormat="false" ht="15" hidden="false" customHeight="false" outlineLevel="0" collapsed="false">
      <c r="A4" s="9"/>
      <c r="B4" s="10"/>
    </row>
    <row r="5" customFormat="false" ht="15" hidden="false" customHeight="false" outlineLevel="0" collapsed="false">
      <c r="A5" s="9"/>
      <c r="B5" s="10"/>
    </row>
    <row r="6" customFormat="false" ht="15" hidden="false" customHeight="false" outlineLevel="0" collapsed="false">
      <c r="A6" s="9"/>
      <c r="B6" s="10"/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/>
    </row>
    <row r="13" customFormat="false" ht="15" hidden="false" customHeight="false" outlineLevel="0" collapsed="false">
      <c r="A13" s="9"/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/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/>
    </row>
    <row r="18" customFormat="false" ht="15" hidden="false" customHeight="false" outlineLevel="0" collapsed="false">
      <c r="A18" s="9"/>
    </row>
    <row r="19" customFormat="false" ht="15" hidden="false" customHeight="false" outlineLevel="0" collapsed="false">
      <c r="A19" s="9"/>
    </row>
    <row r="20" customFormat="false" ht="15" hidden="false" customHeight="false" outlineLevel="0" collapsed="false">
      <c r="A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26.57"/>
  </cols>
  <sheetData>
    <row r="1" customFormat="false" ht="15" hidden="false" customHeight="false" outlineLevel="0" collapsed="false">
      <c r="A1" s="9" t="n">
        <v>46060</v>
      </c>
      <c r="B1" s="10" t="s">
        <v>18</v>
      </c>
    </row>
    <row r="2" customFormat="false" ht="15" hidden="false" customHeight="false" outlineLevel="0" collapsed="false">
      <c r="A2" s="9"/>
      <c r="B2" s="10"/>
    </row>
    <row r="3" customFormat="false" ht="15" hidden="false" customHeight="false" outlineLevel="0" collapsed="false">
      <c r="A3" s="9"/>
      <c r="B3" s="10"/>
    </row>
    <row r="4" customFormat="false" ht="15" hidden="false" customHeight="false" outlineLevel="0" collapsed="false">
      <c r="A4" s="9"/>
      <c r="B4" s="10"/>
    </row>
    <row r="5" customFormat="false" ht="15" hidden="false" customHeight="false" outlineLevel="0" collapsed="false">
      <c r="A5" s="9"/>
      <c r="B5" s="10"/>
    </row>
    <row r="6" customFormat="false" ht="15" hidden="false" customHeight="false" outlineLevel="0" collapsed="false">
      <c r="A6" s="9"/>
      <c r="B6" s="10"/>
    </row>
    <row r="7" customFormat="false" ht="15" hidden="false" customHeight="false" outlineLevel="0" collapsed="false">
      <c r="A7" s="9"/>
      <c r="B7" s="10"/>
    </row>
    <row r="8" customFormat="false" ht="15" hidden="false" customHeight="false" outlineLevel="0" collapsed="false">
      <c r="A8" s="9"/>
      <c r="B8" s="10"/>
    </row>
    <row r="9" customFormat="false" ht="15" hidden="false" customHeight="false" outlineLevel="0" collapsed="false">
      <c r="A9" s="9"/>
      <c r="B9" s="10"/>
    </row>
    <row r="10" customFormat="false" ht="15" hidden="false" customHeight="false" outlineLevel="0" collapsed="false">
      <c r="A10" s="9"/>
      <c r="B10" s="10"/>
    </row>
    <row r="11" customFormat="false" ht="15" hidden="false" customHeight="false" outlineLevel="0" collapsed="false">
      <c r="A11" s="9"/>
      <c r="B11" s="10"/>
    </row>
    <row r="12" customFormat="false" ht="15" hidden="false" customHeight="false" outlineLevel="0" collapsed="false">
      <c r="A12" s="9"/>
      <c r="B12" s="10"/>
    </row>
    <row r="13" customFormat="false" ht="15" hidden="false" customHeight="false" outlineLevel="0" collapsed="false">
      <c r="A13" s="9"/>
      <c r="B13" s="10"/>
    </row>
    <row r="14" customFormat="false" ht="15" hidden="false" customHeight="false" outlineLevel="0" collapsed="false">
      <c r="A14" s="9"/>
      <c r="B14" s="10"/>
    </row>
    <row r="15" customFormat="false" ht="15" hidden="false" customHeight="false" outlineLevel="0" collapsed="false">
      <c r="A15" s="9"/>
      <c r="B15" s="10"/>
    </row>
    <row r="16" customFormat="false" ht="15" hidden="false" customHeight="false" outlineLevel="0" collapsed="false">
      <c r="A16" s="9"/>
      <c r="B16" s="10"/>
    </row>
    <row r="17" customFormat="false" ht="15" hidden="false" customHeight="false" outlineLevel="0" collapsed="false">
      <c r="A17" s="9"/>
      <c r="B17" s="10"/>
    </row>
    <row r="18" customFormat="false" ht="15" hidden="false" customHeight="false" outlineLevel="0" collapsed="false">
      <c r="A18" s="9"/>
      <c r="B18" s="10"/>
    </row>
    <row r="19" customFormat="false" ht="15" hidden="false" customHeight="false" outlineLevel="0" collapsed="false">
      <c r="A19" s="9"/>
      <c r="B19" s="10"/>
    </row>
    <row r="20" customFormat="false" ht="15" hidden="false" customHeight="false" outlineLevel="0" collapsed="false">
      <c r="A20" s="9"/>
      <c r="B20" s="10"/>
    </row>
    <row r="21" customFormat="false" ht="15" hidden="false" customHeight="false" outlineLevel="0" collapsed="false">
      <c r="A21" s="9"/>
      <c r="B21" s="10"/>
    </row>
    <row r="22" customFormat="false" ht="15" hidden="false" customHeight="false" outlineLevel="0" collapsed="false">
      <c r="A22" s="9"/>
      <c r="B2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4.86"/>
  </cols>
  <sheetData>
    <row r="1" customFormat="false" ht="15" hidden="false" customHeight="false" outlineLevel="0" collapsed="false">
      <c r="A1" s="9"/>
      <c r="B1" s="10"/>
    </row>
    <row r="2" customFormat="false" ht="15" hidden="false" customHeight="false" outlineLevel="0" collapsed="false">
      <c r="A2" s="9"/>
      <c r="B2" s="10"/>
    </row>
    <row r="3" customFormat="false" ht="15" hidden="false" customHeight="false" outlineLevel="0" collapsed="false">
      <c r="A3" s="9"/>
      <c r="B3" s="10"/>
    </row>
    <row r="4" customFormat="false" ht="15" hidden="false" customHeight="false" outlineLevel="0" collapsed="false">
      <c r="A4" s="9"/>
      <c r="B4" s="10"/>
    </row>
    <row r="5" customFormat="false" ht="15" hidden="false" customHeight="false" outlineLevel="0" collapsed="false">
      <c r="A5" s="9"/>
      <c r="B5" s="10"/>
    </row>
    <row r="6" customFormat="false" ht="15" hidden="false" customHeight="false" outlineLevel="0" collapsed="false">
      <c r="A6" s="9"/>
      <c r="B6" s="10"/>
    </row>
    <row r="7" customFormat="false" ht="15" hidden="false" customHeight="false" outlineLevel="0" collapsed="false">
      <c r="A7" s="9"/>
      <c r="B7" s="10"/>
    </row>
    <row r="8" customFormat="false" ht="15" hidden="false" customHeight="false" outlineLevel="0" collapsed="false">
      <c r="A8" s="9"/>
      <c r="B8" s="10"/>
    </row>
    <row r="9" customFormat="false" ht="15" hidden="false" customHeight="false" outlineLevel="0" collapsed="false">
      <c r="A9" s="9"/>
      <c r="B9" s="10"/>
    </row>
    <row r="10" customFormat="false" ht="15" hidden="false" customHeight="false" outlineLevel="0" collapsed="false">
      <c r="A10" s="9"/>
      <c r="B10" s="10"/>
    </row>
    <row r="11" customFormat="false" ht="15" hidden="false" customHeight="false" outlineLevel="0" collapsed="false">
      <c r="A11" s="9"/>
      <c r="B11" s="10"/>
    </row>
    <row r="12" customFormat="false" ht="15" hidden="false" customHeight="false" outlineLevel="0" collapsed="false">
      <c r="A12" s="9"/>
      <c r="B12" s="10"/>
    </row>
    <row r="13" customFormat="false" ht="15" hidden="false" customHeight="false" outlineLevel="0" collapsed="false">
      <c r="A13" s="9"/>
      <c r="B13" s="10"/>
    </row>
    <row r="14" customFormat="false" ht="15" hidden="false" customHeight="false" outlineLevel="0" collapsed="false">
      <c r="A14" s="9"/>
      <c r="B14" s="10"/>
    </row>
    <row r="15" customFormat="false" ht="15" hidden="false" customHeight="false" outlineLevel="0" collapsed="false">
      <c r="A15" s="9"/>
      <c r="B15" s="10"/>
    </row>
    <row r="16" customFormat="false" ht="15" hidden="false" customHeight="false" outlineLevel="0" collapsed="false">
      <c r="A16" s="9"/>
      <c r="B16" s="10"/>
    </row>
    <row r="17" customFormat="false" ht="15" hidden="false" customHeight="false" outlineLevel="0" collapsed="false">
      <c r="A17" s="9"/>
      <c r="B17" s="10"/>
    </row>
    <row r="18" customFormat="false" ht="15" hidden="false" customHeight="false" outlineLevel="0" collapsed="false">
      <c r="A18" s="9"/>
      <c r="B18" s="10"/>
    </row>
    <row r="19" customFormat="false" ht="15" hidden="false" customHeight="false" outlineLevel="0" collapsed="false">
      <c r="A19" s="9"/>
      <c r="B19" s="10"/>
    </row>
    <row r="20" customFormat="false" ht="15" hidden="false" customHeight="false" outlineLevel="0" collapsed="false">
      <c r="A20" s="9"/>
      <c r="B20" s="10"/>
    </row>
    <row r="21" customFormat="false" ht="15" hidden="false" customHeight="false" outlineLevel="0" collapsed="false">
      <c r="A21" s="9"/>
      <c r="B21" s="10"/>
    </row>
    <row r="22" customFormat="false" ht="15" hidden="false" customHeight="false" outlineLevel="0" collapsed="false">
      <c r="A22" s="9"/>
      <c r="B2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0.57"/>
    <col collapsed="false" customWidth="true" hidden="false" outlineLevel="0" max="2" min="2" style="1" width="24.8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27.71"/>
  </cols>
  <sheetData>
    <row r="1" customFormat="false" ht="15" hidden="false" customHeight="false" outlineLevel="0" collapsed="false">
      <c r="A1" s="9" t="n">
        <v>46060</v>
      </c>
      <c r="B1" s="10" t="s">
        <v>18</v>
      </c>
    </row>
    <row r="2" customFormat="false" ht="15" hidden="false" customHeight="false" outlineLevel="0" collapsed="false">
      <c r="A2" s="9"/>
      <c r="B2" s="10"/>
    </row>
    <row r="3" customFormat="false" ht="15" hidden="false" customHeight="false" outlineLevel="0" collapsed="false">
      <c r="A3" s="9"/>
      <c r="B3" s="10"/>
    </row>
    <row r="4" customFormat="false" ht="15" hidden="false" customHeight="false" outlineLevel="0" collapsed="false">
      <c r="A4" s="9"/>
      <c r="B4" s="10"/>
    </row>
    <row r="5" customFormat="false" ht="15" hidden="false" customHeight="false" outlineLevel="0" collapsed="false">
      <c r="A5" s="9"/>
      <c r="B5" s="10"/>
    </row>
    <row r="6" customFormat="false" ht="15" hidden="false" customHeight="false" outlineLevel="0" collapsed="false">
      <c r="A6" s="9"/>
      <c r="B6" s="10"/>
    </row>
    <row r="7" customFormat="false" ht="15" hidden="false" customHeight="false" outlineLevel="0" collapsed="false">
      <c r="A7" s="9"/>
      <c r="B7" s="10"/>
    </row>
    <row r="8" customFormat="false" ht="15" hidden="false" customHeight="false" outlineLevel="0" collapsed="false">
      <c r="A8" s="9"/>
      <c r="B8" s="10"/>
    </row>
    <row r="9" customFormat="false" ht="15" hidden="false" customHeight="false" outlineLevel="0" collapsed="false">
      <c r="A9" s="9"/>
      <c r="B9" s="10"/>
    </row>
    <row r="10" customFormat="false" ht="15" hidden="false" customHeight="false" outlineLevel="0" collapsed="false">
      <c r="A10" s="9"/>
      <c r="B10" s="10"/>
    </row>
    <row r="11" customFormat="false" ht="15" hidden="false" customHeight="false" outlineLevel="0" collapsed="false">
      <c r="A11" s="9"/>
      <c r="B11" s="10"/>
    </row>
    <row r="12" customFormat="false" ht="15" hidden="false" customHeight="false" outlineLevel="0" collapsed="false">
      <c r="A12" s="9"/>
      <c r="B12" s="10"/>
    </row>
    <row r="13" customFormat="false" ht="15" hidden="false" customHeight="false" outlineLevel="0" collapsed="false">
      <c r="A13" s="9"/>
      <c r="B13" s="10"/>
    </row>
    <row r="14" customFormat="false" ht="15" hidden="false" customHeight="false" outlineLevel="0" collapsed="false">
      <c r="A14" s="9"/>
      <c r="B14" s="10"/>
    </row>
    <row r="15" customFormat="false" ht="15" hidden="false" customHeight="false" outlineLevel="0" collapsed="false">
      <c r="A15" s="9"/>
      <c r="B15" s="10"/>
    </row>
    <row r="16" customFormat="false" ht="15" hidden="false" customHeight="false" outlineLevel="0" collapsed="false">
      <c r="A16" s="9"/>
      <c r="B16" s="10"/>
    </row>
    <row r="17" customFormat="false" ht="15" hidden="false" customHeight="false" outlineLevel="0" collapsed="false">
      <c r="A17" s="9"/>
      <c r="B17" s="10"/>
    </row>
    <row r="18" customFormat="false" ht="15" hidden="false" customHeight="false" outlineLevel="0" collapsed="false">
      <c r="A18" s="9"/>
      <c r="B18" s="10"/>
    </row>
    <row r="19" customFormat="false" ht="15" hidden="false" customHeight="false" outlineLevel="0" collapsed="false">
      <c r="A19" s="9"/>
      <c r="B19" s="10"/>
    </row>
    <row r="20" customFormat="false" ht="15" hidden="false" customHeight="false" outlineLevel="0" collapsed="false">
      <c r="A20" s="9"/>
      <c r="B20" s="10"/>
    </row>
    <row r="21" customFormat="false" ht="15" hidden="false" customHeight="false" outlineLevel="0" collapsed="false">
      <c r="A21" s="9"/>
      <c r="B21" s="10"/>
    </row>
    <row r="22" customFormat="false" ht="15" hidden="false" customHeight="false" outlineLevel="0" collapsed="false">
      <c r="A22" s="9"/>
      <c r="B2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26.71"/>
  </cols>
  <sheetData>
    <row r="1" customFormat="false" ht="15" hidden="false" customHeight="false" outlineLevel="0" collapsed="false">
      <c r="A1" s="9" t="n">
        <v>46062</v>
      </c>
      <c r="B1" s="1" t="s">
        <v>19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9"/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/>
    </row>
    <row r="13" customFormat="false" ht="15" hidden="false" customHeight="false" outlineLevel="0" collapsed="false">
      <c r="A13" s="9"/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/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/>
    </row>
    <row r="18" customFormat="false" ht="15" hidden="false" customHeight="false" outlineLevel="0" collapsed="false">
      <c r="A18" s="9"/>
    </row>
    <row r="19" customFormat="false" ht="15" hidden="false" customHeight="false" outlineLevel="0" collapsed="false">
      <c r="A19" s="9"/>
    </row>
    <row r="20" customFormat="false" ht="15" hidden="false" customHeight="false" outlineLevel="0" collapsed="false">
      <c r="A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28.71"/>
  </cols>
  <sheetData>
    <row r="1" customFormat="false" ht="15" hidden="false" customHeight="false" outlineLevel="0" collapsed="false">
      <c r="A1" s="9" t="n">
        <v>46062</v>
      </c>
      <c r="B1" s="1" t="s">
        <v>20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9"/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/>
    </row>
    <row r="13" customFormat="false" ht="15" hidden="false" customHeight="false" outlineLevel="0" collapsed="false">
      <c r="A13" s="9"/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/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/>
    </row>
    <row r="18" customFormat="false" ht="15" hidden="false" customHeight="false" outlineLevel="0" collapsed="false">
      <c r="A18" s="9"/>
    </row>
    <row r="19" customFormat="false" ht="15" hidden="false" customHeight="false" outlineLevel="0" collapsed="false">
      <c r="A19" s="9"/>
    </row>
    <row r="20" customFormat="false" ht="15" hidden="false" customHeight="false" outlineLevel="0" collapsed="false">
      <c r="A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25.86"/>
  </cols>
  <sheetData>
    <row r="1" customFormat="false" ht="15" hidden="false" customHeight="false" outlineLevel="0" collapsed="false">
      <c r="A1" s="9" t="n">
        <v>46063</v>
      </c>
      <c r="B1" s="1" t="s">
        <v>18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9"/>
    </row>
    <row r="6" customFormat="false" ht="15" hidden="false" customHeight="false" outlineLevel="0" collapsed="false">
      <c r="A6" s="9"/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/>
    </row>
    <row r="12" customFormat="false" ht="15" hidden="false" customHeight="false" outlineLevel="0" collapsed="false">
      <c r="A12" s="9"/>
    </row>
    <row r="13" customFormat="false" ht="15" hidden="false" customHeight="false" outlineLevel="0" collapsed="false">
      <c r="A13" s="9"/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/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/>
    </row>
    <row r="18" customFormat="false" ht="15" hidden="false" customHeight="false" outlineLevel="0" collapsed="false">
      <c r="A18" s="9"/>
    </row>
    <row r="19" customFormat="false" ht="15" hidden="false" customHeight="false" outlineLevel="0" collapsed="false">
      <c r="A1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1" width="21.43"/>
  </cols>
  <sheetData>
    <row r="1" customFormat="false" ht="15" hidden="false" customHeight="false" outlineLevel="0" collapsed="false">
      <c r="A1" s="9" t="n">
        <v>46064</v>
      </c>
      <c r="B1" s="10" t="s">
        <v>19</v>
      </c>
    </row>
    <row r="2" customFormat="false" ht="15" hidden="false" customHeight="false" outlineLevel="0" collapsed="false">
      <c r="A2" s="9"/>
      <c r="B2" s="10"/>
    </row>
    <row r="3" customFormat="false" ht="15" hidden="false" customHeight="false" outlineLevel="0" collapsed="false">
      <c r="A3" s="9"/>
      <c r="B3" s="10"/>
    </row>
    <row r="4" customFormat="false" ht="15" hidden="false" customHeight="false" outlineLevel="0" collapsed="false">
      <c r="A4" s="9"/>
      <c r="B4" s="10"/>
    </row>
    <row r="5" customFormat="false" ht="15" hidden="false" customHeight="false" outlineLevel="0" collapsed="false">
      <c r="A5" s="9"/>
      <c r="B5" s="10"/>
    </row>
    <row r="6" customFormat="false" ht="15" hidden="false" customHeight="false" outlineLevel="0" collapsed="false">
      <c r="A6" s="9"/>
      <c r="B6" s="10"/>
    </row>
    <row r="7" customFormat="false" ht="15" hidden="false" customHeight="false" outlineLevel="0" collapsed="false">
      <c r="A7" s="9"/>
      <c r="B7" s="10"/>
    </row>
    <row r="8" customFormat="false" ht="15" hidden="false" customHeight="false" outlineLevel="0" collapsed="false">
      <c r="A8" s="9"/>
      <c r="B8" s="10"/>
    </row>
    <row r="9" customFormat="false" ht="15" hidden="false" customHeight="false" outlineLevel="0" collapsed="false">
      <c r="A9" s="9"/>
      <c r="B9" s="10"/>
    </row>
    <row r="10" customFormat="false" ht="15" hidden="false" customHeight="false" outlineLevel="0" collapsed="false">
      <c r="A10" s="9"/>
      <c r="B10" s="10"/>
    </row>
    <row r="11" customFormat="false" ht="15" hidden="false" customHeight="false" outlineLevel="0" collapsed="false">
      <c r="A11" s="9"/>
      <c r="B11" s="10"/>
    </row>
    <row r="12" customFormat="false" ht="15" hidden="false" customHeight="false" outlineLevel="0" collapsed="false">
      <c r="A12" s="9"/>
      <c r="B12" s="10"/>
    </row>
    <row r="13" customFormat="false" ht="15" hidden="false" customHeight="false" outlineLevel="0" collapsed="false">
      <c r="A13" s="9"/>
      <c r="B13" s="10"/>
    </row>
    <row r="14" customFormat="false" ht="15" hidden="false" customHeight="false" outlineLevel="0" collapsed="false">
      <c r="A14" s="9"/>
      <c r="B14" s="10"/>
    </row>
    <row r="15" customFormat="false" ht="15" hidden="false" customHeight="false" outlineLevel="0" collapsed="false">
      <c r="A15" s="9"/>
      <c r="B15" s="10"/>
    </row>
    <row r="16" customFormat="false" ht="15" hidden="false" customHeight="false" outlineLevel="0" collapsed="false">
      <c r="A16" s="9"/>
      <c r="B16" s="10"/>
    </row>
    <row r="17" customFormat="false" ht="15" hidden="false" customHeight="false" outlineLevel="0" collapsed="false">
      <c r="A17" s="9"/>
      <c r="B17" s="10"/>
    </row>
    <row r="18" customFormat="false" ht="15" hidden="false" customHeight="false" outlineLevel="0" collapsed="false">
      <c r="A18" s="9"/>
      <c r="B18" s="10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9:AS60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pane xSplit="5" ySplit="0" topLeftCell="F11" activePane="topRight" state="frozen"/>
      <selection pane="topLeft" activeCell="A11" activeCellId="0" sqref="A11"/>
      <selection pane="topRight" activeCell="G10" activeCellId="0" sqref="G1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36.71"/>
    <col collapsed="false" customWidth="true" hidden="false" outlineLevel="0" max="3" min="3" style="1" width="12.72"/>
    <col collapsed="false" customWidth="true" hidden="false" outlineLevel="0" max="5" min="4" style="1" width="9.14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4.29"/>
    <col collapsed="false" customWidth="true" hidden="false" outlineLevel="0" max="9" min="9" style="1" width="5.14"/>
    <col collapsed="false" customWidth="true" hidden="false" outlineLevel="0" max="10" min="10" style="1" width="9.57"/>
    <col collapsed="false" customWidth="true" hidden="false" outlineLevel="0" max="11" min="11" style="1" width="11.72"/>
    <col collapsed="false" customWidth="true" hidden="false" outlineLevel="0" max="12" min="12" style="1" width="5.86"/>
    <col collapsed="false" customWidth="true" hidden="false" outlineLevel="0" max="13" min="13" style="1" width="22.28"/>
    <col collapsed="false" customWidth="true" hidden="false" outlineLevel="0" max="41" min="14" style="1" width="10.14"/>
    <col collapsed="false" customWidth="true" hidden="false" outlineLevel="0" max="42" min="42" style="1" width="19.29"/>
  </cols>
  <sheetData>
    <row r="9" customFormat="false" ht="15" hidden="false" customHeight="false" outlineLevel="0" collapsed="false">
      <c r="A9" s="11" t="s">
        <v>21</v>
      </c>
      <c r="B9" s="11" t="s">
        <v>22</v>
      </c>
      <c r="C9" s="11" t="s">
        <v>23</v>
      </c>
      <c r="D9" s="11" t="s">
        <v>24</v>
      </c>
      <c r="E9" s="11" t="s">
        <v>25</v>
      </c>
      <c r="F9" s="11" t="s">
        <v>26</v>
      </c>
      <c r="G9" s="11" t="s">
        <v>27</v>
      </c>
      <c r="H9" s="11" t="s">
        <v>28</v>
      </c>
      <c r="I9" s="11" t="s">
        <v>29</v>
      </c>
      <c r="J9" s="11" t="s">
        <v>30</v>
      </c>
      <c r="K9" s="11" t="s">
        <v>31</v>
      </c>
      <c r="L9" s="11" t="s">
        <v>32</v>
      </c>
      <c r="M9" s="11" t="s">
        <v>33</v>
      </c>
      <c r="N9" s="12" t="n">
        <v>46054</v>
      </c>
      <c r="O9" s="12" t="n">
        <v>46055</v>
      </c>
      <c r="P9" s="12" t="n">
        <v>46056</v>
      </c>
      <c r="Q9" s="12" t="n">
        <v>46057</v>
      </c>
      <c r="R9" s="12" t="n">
        <v>46058</v>
      </c>
      <c r="S9" s="12" t="n">
        <v>46059</v>
      </c>
      <c r="T9" s="12" t="n">
        <v>46060</v>
      </c>
      <c r="U9" s="12" t="n">
        <v>46061</v>
      </c>
      <c r="V9" s="12" t="n">
        <v>46062</v>
      </c>
      <c r="W9" s="12" t="n">
        <v>46063</v>
      </c>
      <c r="X9" s="12" t="n">
        <v>46064</v>
      </c>
      <c r="Y9" s="12" t="n">
        <v>46065</v>
      </c>
      <c r="Z9" s="12" t="n">
        <v>46066</v>
      </c>
      <c r="AA9" s="13" t="n">
        <v>46067</v>
      </c>
      <c r="AB9" s="13" t="n">
        <v>46068</v>
      </c>
      <c r="AC9" s="12" t="n">
        <v>46069</v>
      </c>
      <c r="AD9" s="12" t="n">
        <v>46070</v>
      </c>
      <c r="AE9" s="12" t="n">
        <v>46071</v>
      </c>
      <c r="AF9" s="12" t="n">
        <v>46072</v>
      </c>
      <c r="AG9" s="12" t="n">
        <v>46073</v>
      </c>
      <c r="AH9" s="13" t="n">
        <v>46074</v>
      </c>
      <c r="AI9" s="13" t="n">
        <v>46075</v>
      </c>
      <c r="AJ9" s="13" t="n">
        <v>46076</v>
      </c>
      <c r="AK9" s="12" t="n">
        <v>46077</v>
      </c>
      <c r="AL9" s="12" t="n">
        <v>46078</v>
      </c>
      <c r="AM9" s="12" t="n">
        <v>46079</v>
      </c>
      <c r="AN9" s="12" t="n">
        <v>46080</v>
      </c>
      <c r="AO9" s="13" t="n">
        <v>46081</v>
      </c>
    </row>
    <row r="10" customFormat="false" ht="15" hidden="false" customHeight="false" outlineLevel="0" collapsed="false">
      <c r="A10" s="11" t="n">
        <v>1</v>
      </c>
      <c r="B10" s="2" t="s">
        <v>34</v>
      </c>
      <c r="C10" s="11" t="s">
        <v>35</v>
      </c>
      <c r="D10" s="11" t="n">
        <f aca="false">COUNTIF(N10:AO10,"ΣΚ1")+COUNTIF(N10:AO10,"ΣΚ2")+COUNTIF(N10:AO10,"ΣΚ3")+COUNTIF(N10:AO10,"ΘΑΛ1")+COUNTIF(N10:AO10,"ΘΑΛ2")+COUNTIF(N10:AO10,"ΘΑΛ3")+COUNTIF(N10:AO10,"ΛΥΛ")+COUNTIF(N10:AO10,"ΕΣΤ")+COUNTIF(N10:AO10,"ΓΕΠ")</f>
        <v>0</v>
      </c>
      <c r="E10" s="11" t="n">
        <f aca="false">COUNTIF(N10:AO10,"ΕΞ")+COUNTIF(N10:AO10,"ΔΙΑΘ")+COUNTIF(N10:AO10,"ΕΥ")</f>
        <v>0</v>
      </c>
      <c r="F10" s="11" t="s">
        <v>36</v>
      </c>
      <c r="G10" s="14" t="n">
        <v>6900000000</v>
      </c>
      <c r="H10" s="11" t="s">
        <v>37</v>
      </c>
      <c r="I10" s="11" t="s">
        <v>38</v>
      </c>
      <c r="J10" s="11"/>
      <c r="K10" s="11" t="s">
        <v>39</v>
      </c>
      <c r="L10" s="11" t="s">
        <v>40</v>
      </c>
      <c r="M10" s="15" t="n">
        <v>45996</v>
      </c>
      <c r="N10" s="4" t="s">
        <v>41</v>
      </c>
      <c r="O10" s="4" t="s">
        <v>42</v>
      </c>
      <c r="P10" s="4" t="s">
        <v>42</v>
      </c>
      <c r="Q10" s="4" t="s">
        <v>42</v>
      </c>
      <c r="R10" s="4" t="s">
        <v>42</v>
      </c>
      <c r="S10" s="4" t="s">
        <v>42</v>
      </c>
      <c r="T10" s="4" t="s">
        <v>42</v>
      </c>
      <c r="U10" s="16" t="s">
        <v>42</v>
      </c>
      <c r="V10" s="16" t="s">
        <v>42</v>
      </c>
      <c r="W10" s="16" t="s">
        <v>42</v>
      </c>
      <c r="X10" s="16" t="s">
        <v>42</v>
      </c>
      <c r="Y10" s="16" t="s">
        <v>42</v>
      </c>
      <c r="Z10" s="16" t="s">
        <v>42</v>
      </c>
      <c r="AA10" s="16" t="s">
        <v>42</v>
      </c>
      <c r="AB10" s="16" t="s">
        <v>42</v>
      </c>
      <c r="AC10" s="10" t="s">
        <v>42</v>
      </c>
      <c r="AD10" s="10" t="s">
        <v>42</v>
      </c>
      <c r="AE10" s="10" t="s">
        <v>42</v>
      </c>
      <c r="AF10" s="10" t="s">
        <v>42</v>
      </c>
      <c r="AG10" s="4" t="s">
        <v>42</v>
      </c>
      <c r="AH10" s="4" t="s">
        <v>42</v>
      </c>
      <c r="AI10" s="4" t="s">
        <v>42</v>
      </c>
      <c r="AJ10" s="4" t="s">
        <v>42</v>
      </c>
      <c r="AK10" s="4" t="s">
        <v>42</v>
      </c>
      <c r="AL10" s="4" t="s">
        <v>42</v>
      </c>
      <c r="AM10" s="4" t="s">
        <v>42</v>
      </c>
      <c r="AN10" s="4" t="s">
        <v>42</v>
      </c>
      <c r="AO10" s="4" t="s">
        <v>42</v>
      </c>
      <c r="AP10" s="10"/>
      <c r="AQ10" s="10"/>
      <c r="AR10" s="10"/>
      <c r="AS10" s="10"/>
    </row>
    <row r="11" s="10" customFormat="true" ht="15" hidden="false" customHeight="false" outlineLevel="0" collapsed="false">
      <c r="A11" s="11" t="n">
        <v>2</v>
      </c>
      <c r="B11" s="2" t="s">
        <v>43</v>
      </c>
      <c r="C11" s="11" t="s">
        <v>35</v>
      </c>
      <c r="D11" s="11" t="n">
        <f aca="false">COUNTIF(N11:AO11,"ΣΚ1")+COUNTIF(N11:AO11,"ΣΚ2")+COUNTIF(N11:AO11,"ΣΚ3")+COUNTIF(N11:AO11,"ΘΑΛ1")+COUNTIF(N11:AO11,"ΘΑΛ2")+COUNTIF(N11:AO11,"ΘΑΛ3")+COUNTIF(N11:AO11,"ΛΥΛ")+COUNTIF(N11:AO11,"ΕΣΤ")+COUNTIF(N11:AO11,"ΓΕΠ")</f>
        <v>5</v>
      </c>
      <c r="E11" s="11" t="n">
        <f aca="false">COUNTIF(N11:AO11,"ΕΞ")+COUNTIF(N11:AO11,"ΔΙΑΘ")+COUNTIF(N11:AO11,"ΕΥ")</f>
        <v>2</v>
      </c>
      <c r="F11" s="11" t="s">
        <v>44</v>
      </c>
      <c r="G11" s="14" t="n">
        <v>6900000001</v>
      </c>
      <c r="H11" s="11" t="s">
        <v>45</v>
      </c>
      <c r="I11" s="11" t="s">
        <v>46</v>
      </c>
      <c r="J11" s="11"/>
      <c r="K11" s="11" t="s">
        <v>47</v>
      </c>
      <c r="L11" s="11" t="s">
        <v>48</v>
      </c>
      <c r="M11" s="15" t="n">
        <v>46056</v>
      </c>
      <c r="N11" s="4" t="s">
        <v>49</v>
      </c>
      <c r="O11" s="4" t="s">
        <v>49</v>
      </c>
      <c r="P11" s="4" t="s">
        <v>25</v>
      </c>
      <c r="Q11" s="4" t="s">
        <v>42</v>
      </c>
      <c r="R11" s="4" t="s">
        <v>42</v>
      </c>
      <c r="S11" s="4" t="s">
        <v>50</v>
      </c>
      <c r="T11" s="4" t="s">
        <v>42</v>
      </c>
      <c r="U11" s="16" t="s">
        <v>50</v>
      </c>
      <c r="V11" s="16" t="s">
        <v>42</v>
      </c>
      <c r="W11" s="16" t="s">
        <v>51</v>
      </c>
      <c r="X11" s="16" t="s">
        <v>52</v>
      </c>
      <c r="Y11" s="4" t="s">
        <v>42</v>
      </c>
      <c r="Z11" s="16" t="s">
        <v>51</v>
      </c>
      <c r="AA11" s="16" t="s">
        <v>42</v>
      </c>
      <c r="AB11" s="16" t="s">
        <v>42</v>
      </c>
      <c r="AC11" s="10" t="s">
        <v>42</v>
      </c>
      <c r="AD11" s="10" t="s">
        <v>50</v>
      </c>
      <c r="AE11" s="10" t="s">
        <v>42</v>
      </c>
      <c r="AF11" s="10" t="s">
        <v>41</v>
      </c>
      <c r="AG11" s="4" t="s">
        <v>41</v>
      </c>
      <c r="AH11" s="4" t="s">
        <v>41</v>
      </c>
      <c r="AI11" s="4" t="s">
        <v>41</v>
      </c>
      <c r="AJ11" s="4" t="s">
        <v>41</v>
      </c>
      <c r="AK11" s="4" t="s">
        <v>41</v>
      </c>
      <c r="AL11" s="4" t="s">
        <v>41</v>
      </c>
      <c r="AM11" s="4" t="s">
        <v>41</v>
      </c>
      <c r="AN11" s="4" t="s">
        <v>41</v>
      </c>
      <c r="AO11" s="4" t="s">
        <v>42</v>
      </c>
      <c r="AP11" s="1"/>
    </row>
    <row r="12" customFormat="false" ht="15" hidden="false" customHeight="false" outlineLevel="0" collapsed="false">
      <c r="A12" s="11" t="n">
        <v>3</v>
      </c>
      <c r="B12" s="2" t="s">
        <v>53</v>
      </c>
      <c r="C12" s="11" t="s">
        <v>54</v>
      </c>
      <c r="D12" s="11" t="n">
        <f aca="false">COUNTIF(N12:AO12,"ΣΚ1")+COUNTIF(N12:AO12,"ΣΚ2")+COUNTIF(N12:AO12,"ΣΚ3")+COUNTIF(N12:AO12,"ΘΑΛ1")+COUNTIF(N12:AO12,"ΘΑΛ2")+COUNTIF(N12:AO12,"ΘΑΛ3")+COUNTIF(N12:AO12,"ΛΥΛ")+COUNTIF(N12:AO12,"ΕΣΤ")+COUNTIF(N12:AO12,"ΓΕΠ")</f>
        <v>1</v>
      </c>
      <c r="E12" s="11" t="n">
        <f aca="false">COUNTIF(N12:AO12,"ΕΞ")+COUNTIF(N12:AO12,"ΔΙΑΘ")+COUNTIF(N12:AO12,"ΕΥ")</f>
        <v>4</v>
      </c>
      <c r="F12" s="11" t="s">
        <v>55</v>
      </c>
      <c r="G12" s="14" t="n">
        <v>6900000002</v>
      </c>
      <c r="H12" s="11" t="s">
        <v>37</v>
      </c>
      <c r="I12" s="11" t="s">
        <v>46</v>
      </c>
      <c r="J12" s="11"/>
      <c r="K12" s="11" t="s">
        <v>56</v>
      </c>
      <c r="L12" s="11" t="s">
        <v>57</v>
      </c>
      <c r="M12" s="15" t="n">
        <v>45945</v>
      </c>
      <c r="N12" s="4" t="s">
        <v>58</v>
      </c>
      <c r="O12" s="4" t="s">
        <v>25</v>
      </c>
      <c r="P12" s="4" t="s">
        <v>25</v>
      </c>
      <c r="Q12" s="4" t="s">
        <v>41</v>
      </c>
      <c r="R12" s="4" t="s">
        <v>41</v>
      </c>
      <c r="S12" s="4" t="s">
        <v>41</v>
      </c>
      <c r="T12" s="4" t="s">
        <v>41</v>
      </c>
      <c r="U12" s="16" t="s">
        <v>41</v>
      </c>
      <c r="V12" s="16" t="s">
        <v>41</v>
      </c>
      <c r="W12" s="16" t="s">
        <v>41</v>
      </c>
      <c r="X12" s="16" t="s">
        <v>41</v>
      </c>
      <c r="Y12" s="4" t="s">
        <v>41</v>
      </c>
      <c r="Z12" s="16" t="s">
        <v>41</v>
      </c>
      <c r="AA12" s="16" t="s">
        <v>41</v>
      </c>
      <c r="AB12" s="16" t="s">
        <v>41</v>
      </c>
      <c r="AC12" s="10" t="s">
        <v>41</v>
      </c>
      <c r="AD12" s="10" t="s">
        <v>59</v>
      </c>
      <c r="AE12" s="10" t="s">
        <v>25</v>
      </c>
      <c r="AF12" s="17" t="s">
        <v>49</v>
      </c>
      <c r="AG12" s="4" t="s">
        <v>49</v>
      </c>
      <c r="AH12" s="4" t="s">
        <v>49</v>
      </c>
      <c r="AI12" s="4" t="s">
        <v>49</v>
      </c>
      <c r="AJ12" s="4" t="s">
        <v>49</v>
      </c>
      <c r="AK12" s="4" t="s">
        <v>49</v>
      </c>
      <c r="AL12" s="4" t="s">
        <v>49</v>
      </c>
      <c r="AM12" s="4" t="s">
        <v>49</v>
      </c>
      <c r="AN12" s="4" t="s">
        <v>49</v>
      </c>
      <c r="AO12" s="4" t="s">
        <v>49</v>
      </c>
      <c r="AQ12" s="10"/>
      <c r="AR12" s="10"/>
      <c r="AS12" s="10"/>
    </row>
    <row r="13" customFormat="false" ht="15" hidden="false" customHeight="false" outlineLevel="0" collapsed="false">
      <c r="A13" s="11" t="n">
        <v>4</v>
      </c>
      <c r="B13" s="2" t="s">
        <v>60</v>
      </c>
      <c r="C13" s="11" t="s">
        <v>61</v>
      </c>
      <c r="D13" s="11" t="n">
        <f aca="false">COUNTIF(N13:AO13,"ΣΚ1")+COUNTIF(N13:AO13,"ΣΚ2")+COUNTIF(N13:AO13,"ΣΚ3")+COUNTIF(N13:AO13,"ΘΑΛ1")+COUNTIF(N13:AO13,"ΘΑΛ2")+COUNTIF(N13:AO13,"ΘΑΛ3")+COUNTIF(N13:AO13,"ΛΥΛ")+COUNTIF(N13:AO13,"ΕΣΤ")+COUNTIF(N13:AO13,"ΓΕΠ")</f>
        <v>0</v>
      </c>
      <c r="E13" s="11" t="n">
        <f aca="false">COUNTIF(N13:AO13,"ΕΞ")+COUNTIF(N13:AO13,"ΔΙΑΘ")+COUNTIF(N13:AO13,"ΕΥ")</f>
        <v>2</v>
      </c>
      <c r="F13" s="11" t="s">
        <v>62</v>
      </c>
      <c r="G13" s="14" t="n">
        <v>6900000003</v>
      </c>
      <c r="H13" s="11" t="s">
        <v>37</v>
      </c>
      <c r="I13" s="11" t="s">
        <v>63</v>
      </c>
      <c r="J13" s="11"/>
      <c r="K13" s="11" t="s">
        <v>39</v>
      </c>
      <c r="L13" s="11" t="s">
        <v>57</v>
      </c>
      <c r="M13" s="15" t="n">
        <v>45797</v>
      </c>
      <c r="N13" s="4" t="s">
        <v>41</v>
      </c>
      <c r="O13" s="4" t="s">
        <v>41</v>
      </c>
      <c r="P13" s="4" t="s">
        <v>41</v>
      </c>
      <c r="Q13" s="4" t="s">
        <v>41</v>
      </c>
      <c r="R13" s="4" t="s">
        <v>41</v>
      </c>
      <c r="S13" s="4" t="s">
        <v>41</v>
      </c>
      <c r="T13" s="4" t="s">
        <v>41</v>
      </c>
      <c r="U13" s="16" t="s">
        <v>41</v>
      </c>
      <c r="V13" s="16" t="s">
        <v>41</v>
      </c>
      <c r="W13" s="16" t="s">
        <v>41</v>
      </c>
      <c r="X13" s="16" t="s">
        <v>41</v>
      </c>
      <c r="Y13" s="4" t="s">
        <v>41</v>
      </c>
      <c r="Z13" s="16" t="s">
        <v>41</v>
      </c>
      <c r="AA13" s="16" t="s">
        <v>41</v>
      </c>
      <c r="AB13" s="16" t="s">
        <v>41</v>
      </c>
      <c r="AC13" s="10" t="s">
        <v>41</v>
      </c>
      <c r="AD13" s="10" t="s">
        <v>41</v>
      </c>
      <c r="AE13" s="16" t="s">
        <v>59</v>
      </c>
      <c r="AF13" s="10" t="s">
        <v>59</v>
      </c>
      <c r="AG13" s="4" t="s">
        <v>49</v>
      </c>
      <c r="AH13" s="4" t="s">
        <v>49</v>
      </c>
      <c r="AI13" s="4" t="s">
        <v>49</v>
      </c>
      <c r="AJ13" s="4" t="s">
        <v>49</v>
      </c>
      <c r="AK13" s="4" t="s">
        <v>49</v>
      </c>
      <c r="AL13" s="4" t="s">
        <v>49</v>
      </c>
      <c r="AM13" s="4" t="s">
        <v>49</v>
      </c>
      <c r="AN13" s="4" t="s">
        <v>49</v>
      </c>
      <c r="AO13" s="4" t="s">
        <v>49</v>
      </c>
      <c r="AQ13" s="10"/>
      <c r="AR13" s="10"/>
      <c r="AS13" s="10"/>
    </row>
    <row r="14" s="10" customFormat="true" ht="15" hidden="false" customHeight="false" outlineLevel="0" collapsed="false">
      <c r="A14" s="11" t="n">
        <v>5</v>
      </c>
      <c r="B14" s="2" t="s">
        <v>64</v>
      </c>
      <c r="C14" s="11" t="s">
        <v>58</v>
      </c>
      <c r="D14" s="11" t="n">
        <f aca="false">COUNTIF(N14:AO14,"ΣΚ1")+COUNTIF(N14:AO14,"ΣΚ2")+COUNTIF(N14:AO14,"ΣΚ3")+COUNTIF(N14:AO14,"ΘΑΛ1")+COUNTIF(N14:AO14,"ΘΑΛ2")+COUNTIF(N14:AO14,"ΘΑΛ3")+COUNTIF(N14:AO14,"ΛΥΛ")+COUNTIF(N14:AO14,"ΕΣΤ")+COUNTIF(N14:AO14,"ΓΕΠ")</f>
        <v>18</v>
      </c>
      <c r="E14" s="11" t="n">
        <f aca="false">COUNTIF(N14:AO14,"ΕΞ")+COUNTIF(N14:AO14,"ΔΙΑΘ")+COUNTIF(N14:AO14,"ΕΥ")</f>
        <v>10</v>
      </c>
      <c r="F14" s="11" t="s">
        <v>65</v>
      </c>
      <c r="G14" s="14" t="n">
        <v>6900000004</v>
      </c>
      <c r="H14" s="11" t="s">
        <v>37</v>
      </c>
      <c r="I14" s="11" t="s">
        <v>46</v>
      </c>
      <c r="J14" s="11"/>
      <c r="K14" s="11" t="s">
        <v>66</v>
      </c>
      <c r="L14" s="11" t="s">
        <v>40</v>
      </c>
      <c r="M14" s="15" t="n">
        <v>45973</v>
      </c>
      <c r="N14" s="4" t="s">
        <v>25</v>
      </c>
      <c r="O14" s="4" t="s">
        <v>58</v>
      </c>
      <c r="P14" s="4" t="s">
        <v>58</v>
      </c>
      <c r="Q14" s="4" t="s">
        <v>58</v>
      </c>
      <c r="R14" s="4" t="s">
        <v>25</v>
      </c>
      <c r="S14" s="4" t="s">
        <v>25</v>
      </c>
      <c r="T14" s="4" t="s">
        <v>58</v>
      </c>
      <c r="U14" s="16" t="s">
        <v>58</v>
      </c>
      <c r="V14" s="16" t="s">
        <v>58</v>
      </c>
      <c r="W14" s="16" t="s">
        <v>58</v>
      </c>
      <c r="X14" s="16" t="s">
        <v>58</v>
      </c>
      <c r="Y14" s="4" t="s">
        <v>25</v>
      </c>
      <c r="Z14" s="16" t="s">
        <v>58</v>
      </c>
      <c r="AA14" s="16" t="s">
        <v>58</v>
      </c>
      <c r="AB14" s="16" t="s">
        <v>58</v>
      </c>
      <c r="AC14" s="10" t="s">
        <v>58</v>
      </c>
      <c r="AD14" s="10" t="s">
        <v>25</v>
      </c>
      <c r="AE14" s="10" t="s">
        <v>58</v>
      </c>
      <c r="AF14" s="10" t="s">
        <v>25</v>
      </c>
      <c r="AG14" s="4" t="s">
        <v>58</v>
      </c>
      <c r="AH14" s="4" t="s">
        <v>25</v>
      </c>
      <c r="AI14" s="4" t="s">
        <v>58</v>
      </c>
      <c r="AJ14" s="4" t="s">
        <v>25</v>
      </c>
      <c r="AK14" s="4" t="s">
        <v>58</v>
      </c>
      <c r="AL14" s="4" t="s">
        <v>25</v>
      </c>
      <c r="AM14" s="4" t="s">
        <v>58</v>
      </c>
      <c r="AN14" s="4" t="s">
        <v>25</v>
      </c>
      <c r="AO14" s="4" t="s">
        <v>58</v>
      </c>
      <c r="AP14" s="1"/>
    </row>
    <row r="15" customFormat="false" ht="15" hidden="false" customHeight="false" outlineLevel="0" collapsed="false">
      <c r="A15" s="11" t="n">
        <v>6</v>
      </c>
      <c r="B15" s="2" t="s">
        <v>67</v>
      </c>
      <c r="C15" s="11" t="s">
        <v>58</v>
      </c>
      <c r="D15" s="11" t="n">
        <f aca="false">COUNTIF(N15:AO15,"ΣΚ1")+COUNTIF(N15:AO15,"ΣΚ2")+COUNTIF(N15:AO15,"ΣΚ3")+COUNTIF(N15:AO15,"ΘΑΛ1")+COUNTIF(N15:AO15,"ΘΑΛ2")+COUNTIF(N15:AO15,"ΘΑΛ3")+COUNTIF(N15:AO15,"ΛΥΛ")+COUNTIF(N15:AO15,"ΕΣΤ")+COUNTIF(N15:AO15,"ΓΕΠ")</f>
        <v>6</v>
      </c>
      <c r="E15" s="11" t="n">
        <f aca="false">COUNTIF(N15:AO15,"ΕΞ")+COUNTIF(N15:AO15,"ΔΙΑΘ")+COUNTIF(N15:AO15,"ΕΥ")</f>
        <v>7</v>
      </c>
      <c r="F15" s="11" t="s">
        <v>68</v>
      </c>
      <c r="G15" s="14" t="n">
        <v>6900000005</v>
      </c>
      <c r="H15" s="11" t="s">
        <v>69</v>
      </c>
      <c r="I15" s="11" t="s">
        <v>46</v>
      </c>
      <c r="J15" s="11"/>
      <c r="K15" s="11" t="s">
        <v>47</v>
      </c>
      <c r="L15" s="11" t="s">
        <v>48</v>
      </c>
      <c r="M15" s="15" t="n">
        <v>46069</v>
      </c>
      <c r="N15" s="16" t="s">
        <v>49</v>
      </c>
      <c r="O15" s="16" t="s">
        <v>49</v>
      </c>
      <c r="P15" s="16" t="s">
        <v>49</v>
      </c>
      <c r="Q15" s="16" t="s">
        <v>49</v>
      </c>
      <c r="R15" s="16" t="s">
        <v>49</v>
      </c>
      <c r="S15" s="16" t="s">
        <v>49</v>
      </c>
      <c r="T15" s="16" t="s">
        <v>49</v>
      </c>
      <c r="U15" s="16" t="s">
        <v>49</v>
      </c>
      <c r="V15" s="16" t="s">
        <v>49</v>
      </c>
      <c r="W15" s="16" t="s">
        <v>49</v>
      </c>
      <c r="X15" s="16" t="s">
        <v>49</v>
      </c>
      <c r="Y15" s="16" t="s">
        <v>49</v>
      </c>
      <c r="Z15" s="16" t="s">
        <v>49</v>
      </c>
      <c r="AA15" s="16" t="s">
        <v>49</v>
      </c>
      <c r="AB15" s="16" t="s">
        <v>49</v>
      </c>
      <c r="AC15" s="1" t="s">
        <v>25</v>
      </c>
      <c r="AD15" s="1" t="s">
        <v>58</v>
      </c>
      <c r="AE15" s="1" t="s">
        <v>25</v>
      </c>
      <c r="AF15" s="1" t="s">
        <v>58</v>
      </c>
      <c r="AG15" s="4" t="s">
        <v>25</v>
      </c>
      <c r="AH15" s="4" t="s">
        <v>58</v>
      </c>
      <c r="AI15" s="4" t="s">
        <v>25</v>
      </c>
      <c r="AJ15" s="4" t="s">
        <v>58</v>
      </c>
      <c r="AK15" s="4" t="s">
        <v>25</v>
      </c>
      <c r="AL15" s="4" t="s">
        <v>58</v>
      </c>
      <c r="AM15" s="4" t="s">
        <v>25</v>
      </c>
      <c r="AN15" s="4" t="s">
        <v>58</v>
      </c>
      <c r="AO15" s="4" t="s">
        <v>25</v>
      </c>
      <c r="AQ15" s="1"/>
      <c r="AR15" s="1"/>
      <c r="AS15" s="1"/>
    </row>
    <row r="16" customFormat="false" ht="15" hidden="false" customHeight="false" outlineLevel="0" collapsed="false">
      <c r="A16" s="11" t="n">
        <v>6</v>
      </c>
      <c r="B16" s="2" t="s">
        <v>70</v>
      </c>
      <c r="C16" s="11" t="s">
        <v>58</v>
      </c>
      <c r="D16" s="11" t="n">
        <f aca="false">COUNTIF(N16:AO16,"ΣΚ1")+COUNTIF(N16:AO16,"ΣΚ2")+COUNTIF(N16:AO16,"ΣΚ3")+COUNTIF(N16:AO16,"ΘΑΛ1")+COUNTIF(N16:AO16,"ΘΑΛ2")+COUNTIF(N16:AO16,"ΘΑΛ3")+COUNTIF(N16:AO16,"ΛΥΛ")+COUNTIF(N16:AO16,"ΕΣΤ")+COUNTIF(N16:AO16,"ΓΕΠ")</f>
        <v>3</v>
      </c>
      <c r="E16" s="11" t="n">
        <f aca="false">COUNTIF(N16:AO16,"ΕΞ")+COUNTIF(N16:AO16,"ΔΙΑΘ")+COUNTIF(N16:AO16,"ΕΥ")</f>
        <v>8</v>
      </c>
      <c r="F16" s="11" t="s">
        <v>71</v>
      </c>
      <c r="G16" s="14" t="n">
        <v>6900000006</v>
      </c>
      <c r="H16" s="11" t="s">
        <v>72</v>
      </c>
      <c r="I16" s="11" t="s">
        <v>46</v>
      </c>
      <c r="J16" s="11"/>
      <c r="K16" s="11" t="s">
        <v>73</v>
      </c>
      <c r="L16" s="11" t="s">
        <v>40</v>
      </c>
      <c r="M16" s="15" t="n">
        <v>46051</v>
      </c>
      <c r="N16" s="4" t="s">
        <v>50</v>
      </c>
      <c r="O16" s="4" t="s">
        <v>25</v>
      </c>
      <c r="P16" s="4" t="s">
        <v>25</v>
      </c>
      <c r="Q16" s="4" t="s">
        <v>25</v>
      </c>
      <c r="R16" s="4" t="s">
        <v>58</v>
      </c>
      <c r="S16" s="4" t="s">
        <v>58</v>
      </c>
      <c r="T16" s="4" t="s">
        <v>25</v>
      </c>
      <c r="U16" s="4" t="s">
        <v>25</v>
      </c>
      <c r="V16" s="16" t="s">
        <v>59</v>
      </c>
      <c r="W16" s="16" t="s">
        <v>59</v>
      </c>
      <c r="X16" s="16" t="s">
        <v>59</v>
      </c>
      <c r="Y16" s="4" t="s">
        <v>49</v>
      </c>
      <c r="Z16" s="4" t="s">
        <v>49</v>
      </c>
      <c r="AA16" s="4" t="s">
        <v>49</v>
      </c>
      <c r="AB16" s="4" t="s">
        <v>49</v>
      </c>
      <c r="AC16" s="4" t="s">
        <v>49</v>
      </c>
      <c r="AD16" s="4" t="s">
        <v>49</v>
      </c>
      <c r="AE16" s="4" t="s">
        <v>49</v>
      </c>
      <c r="AF16" s="4" t="s">
        <v>49</v>
      </c>
      <c r="AG16" s="4" t="s">
        <v>49</v>
      </c>
      <c r="AH16" s="4" t="s">
        <v>49</v>
      </c>
      <c r="AI16" s="4" t="s">
        <v>49</v>
      </c>
      <c r="AJ16" s="4" t="s">
        <v>49</v>
      </c>
      <c r="AK16" s="4" t="s">
        <v>49</v>
      </c>
      <c r="AL16" s="4" t="s">
        <v>49</v>
      </c>
      <c r="AM16" s="4" t="s">
        <v>49</v>
      </c>
      <c r="AN16" s="4" t="s">
        <v>49</v>
      </c>
      <c r="AO16" s="4" t="s">
        <v>49</v>
      </c>
      <c r="AQ16" s="10"/>
      <c r="AR16" s="10"/>
      <c r="AS16" s="10"/>
    </row>
    <row r="17" customFormat="false" ht="15" hidden="false" customHeight="false" outlineLevel="0" collapsed="false">
      <c r="A17" s="11" t="n">
        <v>7</v>
      </c>
      <c r="B17" s="2" t="s">
        <v>74</v>
      </c>
      <c r="C17" s="11" t="s">
        <v>75</v>
      </c>
      <c r="D17" s="11" t="n">
        <f aca="false">COUNTIF(N17:AO17,"ΣΚ1")+COUNTIF(N17:AO17,"ΣΚ2")+COUNTIF(N17:AO17,"ΣΚ3")+COUNTIF(N17:AO17,"ΘΑΛ1")+COUNTIF(N17:AO17,"ΘΑΛ2")+COUNTIF(N17:AO17,"ΘΑΛ3")+COUNTIF(N17:AO17,"ΛΥΛ")+COUNTIF(N17:AO17,"ΕΣΤ")+COUNTIF(N17:AO17,"ΓΕΠ")</f>
        <v>0</v>
      </c>
      <c r="E17" s="11" t="n">
        <f aca="false">COUNTIF(N17:AO17,"ΕΞ")+COUNTIF(N17:AO17,"ΔΙΑΘ")+COUNTIF(N17:AO17,"ΕΥ")</f>
        <v>0</v>
      </c>
      <c r="F17" s="11" t="s">
        <v>76</v>
      </c>
      <c r="G17" s="14" t="n">
        <v>6900000007</v>
      </c>
      <c r="H17" s="11" t="s">
        <v>77</v>
      </c>
      <c r="I17" s="11" t="s">
        <v>46</v>
      </c>
      <c r="J17" s="11"/>
      <c r="K17" s="11" t="s">
        <v>78</v>
      </c>
      <c r="L17" s="11" t="s">
        <v>40</v>
      </c>
      <c r="M17" s="15" t="n">
        <v>46049</v>
      </c>
      <c r="N17" s="4" t="s">
        <v>75</v>
      </c>
      <c r="O17" s="4" t="s">
        <v>75</v>
      </c>
      <c r="P17" s="4" t="s">
        <v>75</v>
      </c>
      <c r="Q17" s="4" t="s">
        <v>75</v>
      </c>
      <c r="R17" s="4" t="s">
        <v>75</v>
      </c>
      <c r="S17" s="4" t="s">
        <v>75</v>
      </c>
      <c r="T17" s="4" t="s">
        <v>75</v>
      </c>
      <c r="U17" s="16" t="s">
        <v>75</v>
      </c>
      <c r="V17" s="16" t="s">
        <v>75</v>
      </c>
      <c r="W17" s="16" t="s">
        <v>75</v>
      </c>
      <c r="X17" s="16" t="s">
        <v>75</v>
      </c>
      <c r="Y17" s="4" t="s">
        <v>75</v>
      </c>
      <c r="Z17" s="16" t="s">
        <v>75</v>
      </c>
      <c r="AA17" s="16" t="s">
        <v>75</v>
      </c>
      <c r="AB17" s="16" t="s">
        <v>75</v>
      </c>
      <c r="AC17" s="4" t="s">
        <v>49</v>
      </c>
      <c r="AD17" s="4" t="s">
        <v>49</v>
      </c>
      <c r="AE17" s="4" t="s">
        <v>49</v>
      </c>
      <c r="AF17" s="4" t="s">
        <v>49</v>
      </c>
      <c r="AG17" s="4" t="s">
        <v>49</v>
      </c>
      <c r="AH17" s="4" t="s">
        <v>49</v>
      </c>
      <c r="AI17" s="4" t="s">
        <v>49</v>
      </c>
      <c r="AJ17" s="4" t="s">
        <v>49</v>
      </c>
      <c r="AK17" s="4" t="s">
        <v>49</v>
      </c>
      <c r="AL17" s="4" t="s">
        <v>49</v>
      </c>
      <c r="AM17" s="4" t="s">
        <v>49</v>
      </c>
      <c r="AN17" s="4" t="s">
        <v>49</v>
      </c>
      <c r="AO17" s="4" t="s">
        <v>49</v>
      </c>
      <c r="AQ17" s="10"/>
      <c r="AR17" s="10"/>
      <c r="AS17" s="10"/>
    </row>
    <row r="18" customFormat="false" ht="15" hidden="false" customHeight="false" outlineLevel="0" collapsed="false">
      <c r="A18" s="11" t="n">
        <v>7</v>
      </c>
      <c r="B18" s="2" t="s">
        <v>79</v>
      </c>
      <c r="C18" s="11" t="s">
        <v>75</v>
      </c>
      <c r="D18" s="11" t="n">
        <f aca="false">COUNTIF(N18:AO18,"ΣΚ1")+COUNTIF(N18:AO18,"ΣΚ2")+COUNTIF(N18:AO18,"ΣΚ3")+COUNTIF(N18:AO18,"ΘΑΛ1")+COUNTIF(N18:AO18,"ΘΑΛ2")+COUNTIF(N18:AO18,"ΘΑΛ3")+COUNTIF(N18:AO18,"ΛΥΛ")+COUNTIF(N18:AO18,"ΕΣΤ")+COUNTIF(N18:AO18,"ΓΕΠ")</f>
        <v>0</v>
      </c>
      <c r="E18" s="11" t="n">
        <f aca="false">COUNTIF(N18:AO18,"ΕΞ")+COUNTIF(N18:AO18,"ΔΙΑΘ")+COUNTIF(N18:AO18,"ΕΥ")</f>
        <v>2</v>
      </c>
      <c r="F18" s="11" t="s">
        <v>80</v>
      </c>
      <c r="G18" s="14" t="n">
        <v>6900000008</v>
      </c>
      <c r="H18" s="11" t="s">
        <v>77</v>
      </c>
      <c r="I18" s="11" t="s">
        <v>46</v>
      </c>
      <c r="J18" s="11"/>
      <c r="K18" s="11" t="s">
        <v>78</v>
      </c>
      <c r="L18" s="11" t="s">
        <v>48</v>
      </c>
      <c r="M18" s="15" t="n">
        <v>46069</v>
      </c>
      <c r="N18" s="4" t="s">
        <v>49</v>
      </c>
      <c r="O18" s="4" t="s">
        <v>49</v>
      </c>
      <c r="P18" s="4" t="s">
        <v>49</v>
      </c>
      <c r="Q18" s="4" t="s">
        <v>49</v>
      </c>
      <c r="R18" s="4" t="s">
        <v>49</v>
      </c>
      <c r="S18" s="4" t="s">
        <v>49</v>
      </c>
      <c r="T18" s="4" t="s">
        <v>49</v>
      </c>
      <c r="U18" s="4" t="s">
        <v>49</v>
      </c>
      <c r="V18" s="4" t="s">
        <v>49</v>
      </c>
      <c r="W18" s="4" t="s">
        <v>49</v>
      </c>
      <c r="X18" s="4" t="s">
        <v>49</v>
      </c>
      <c r="Y18" s="4" t="s">
        <v>49</v>
      </c>
      <c r="Z18" s="4" t="s">
        <v>49</v>
      </c>
      <c r="AA18" s="4" t="s">
        <v>49</v>
      </c>
      <c r="AB18" s="4" t="s">
        <v>49</v>
      </c>
      <c r="AC18" s="16" t="s">
        <v>75</v>
      </c>
      <c r="AD18" s="16" t="s">
        <v>75</v>
      </c>
      <c r="AE18" s="1" t="s">
        <v>25</v>
      </c>
      <c r="AF18" s="1" t="s">
        <v>25</v>
      </c>
      <c r="AG18" s="16" t="s">
        <v>75</v>
      </c>
      <c r="AH18" s="16" t="s">
        <v>75</v>
      </c>
      <c r="AI18" s="16" t="s">
        <v>75</v>
      </c>
      <c r="AJ18" s="16" t="s">
        <v>75</v>
      </c>
      <c r="AK18" s="16" t="s">
        <v>75</v>
      </c>
      <c r="AL18" s="16" t="s">
        <v>75</v>
      </c>
      <c r="AM18" s="16" t="s">
        <v>75</v>
      </c>
      <c r="AN18" s="16" t="s">
        <v>75</v>
      </c>
      <c r="AO18" s="16" t="s">
        <v>75</v>
      </c>
      <c r="AQ18" s="1"/>
      <c r="AR18" s="1"/>
      <c r="AS18" s="1"/>
    </row>
    <row r="19" customFormat="false" ht="15" hidden="false" customHeight="false" outlineLevel="0" collapsed="false">
      <c r="A19" s="11" t="n">
        <v>8</v>
      </c>
      <c r="B19" s="2" t="s">
        <v>81</v>
      </c>
      <c r="C19" s="11" t="s">
        <v>61</v>
      </c>
      <c r="D19" s="11" t="n">
        <f aca="false">COUNTIF(N19:AO19,"ΣΚ1")+COUNTIF(N19:AO19,"ΣΚ2")+COUNTIF(N19:AO19,"ΣΚ3")+COUNTIF(N19:AO19,"ΘΑΛ1")+COUNTIF(N19:AO19,"ΘΑΛ2")+COUNTIF(N19:AO19,"ΘΑΛ3")+COUNTIF(N19:AO19,"ΛΥΛ")+COUNTIF(N19:AO19,"ΕΣΤ")+COUNTIF(N19:AO19,"ΓΕΠ")</f>
        <v>3</v>
      </c>
      <c r="E19" s="11" t="n">
        <f aca="false">COUNTIF(N19:AO19,"ΕΞ")+COUNTIF(N19:AO19,"ΔΙΑΘ")+COUNTIF(N19:AO19,"ΕΥ")</f>
        <v>17</v>
      </c>
      <c r="F19" s="11" t="s">
        <v>82</v>
      </c>
      <c r="G19" s="14" t="n">
        <v>6900000009</v>
      </c>
      <c r="H19" s="11" t="s">
        <v>37</v>
      </c>
      <c r="I19" s="11" t="s">
        <v>38</v>
      </c>
      <c r="J19" s="11"/>
      <c r="K19" s="11" t="s">
        <v>39</v>
      </c>
      <c r="L19" s="11" t="s">
        <v>40</v>
      </c>
      <c r="M19" s="15" t="n">
        <v>45936</v>
      </c>
      <c r="N19" s="4" t="s">
        <v>52</v>
      </c>
      <c r="O19" s="4" t="s">
        <v>52</v>
      </c>
      <c r="P19" s="4" t="s">
        <v>52</v>
      </c>
      <c r="Q19" s="4" t="s">
        <v>52</v>
      </c>
      <c r="R19" s="4" t="s">
        <v>52</v>
      </c>
      <c r="S19" s="4" t="s">
        <v>52</v>
      </c>
      <c r="T19" s="4" t="s">
        <v>52</v>
      </c>
      <c r="U19" s="16" t="s">
        <v>52</v>
      </c>
      <c r="V19" s="16" t="s">
        <v>52</v>
      </c>
      <c r="W19" s="16" t="s">
        <v>52</v>
      </c>
      <c r="X19" s="16" t="s">
        <v>52</v>
      </c>
      <c r="Y19" s="4" t="s">
        <v>52</v>
      </c>
      <c r="Z19" s="16" t="s">
        <v>52</v>
      </c>
      <c r="AA19" s="16" t="s">
        <v>52</v>
      </c>
      <c r="AB19" s="16" t="s">
        <v>52</v>
      </c>
      <c r="AC19" s="10" t="s">
        <v>61</v>
      </c>
      <c r="AD19" s="10" t="s">
        <v>51</v>
      </c>
      <c r="AE19" s="10" t="s">
        <v>25</v>
      </c>
      <c r="AF19" s="10" t="s">
        <v>83</v>
      </c>
      <c r="AG19" s="4"/>
      <c r="AH19" s="4"/>
      <c r="AI19" s="4"/>
      <c r="AJ19" s="4"/>
      <c r="AK19" s="4" t="s">
        <v>25</v>
      </c>
      <c r="AL19" s="4" t="s">
        <v>41</v>
      </c>
      <c r="AM19" s="4" t="s">
        <v>41</v>
      </c>
      <c r="AN19" s="4" t="s">
        <v>41</v>
      </c>
      <c r="AO19" s="4" t="s">
        <v>41</v>
      </c>
      <c r="AQ19" s="10"/>
      <c r="AR19" s="10"/>
      <c r="AS19" s="10"/>
    </row>
    <row r="20" customFormat="false" ht="15" hidden="false" customHeight="false" outlineLevel="0" collapsed="false">
      <c r="A20" s="11" t="n">
        <v>9</v>
      </c>
      <c r="B20" s="2" t="s">
        <v>84</v>
      </c>
      <c r="C20" s="11" t="s">
        <v>85</v>
      </c>
      <c r="D20" s="11" t="n">
        <f aca="false">COUNTIF(N20:AO20,"ΣΚ1")+COUNTIF(N20:AO20,"ΣΚ2")+COUNTIF(N20:AO20,"ΣΚ3")+COUNTIF(N20:AO20,"ΘΑΛ1")+COUNTIF(N20:AO20,"ΘΑΛ2")+COUNTIF(N20:AO20,"ΘΑΛ3")+COUNTIF(N20:AO20,"ΛΥΛ")+COUNTIF(N20:AO20,"ΕΣΤ")+COUNTIF(N20:AO20,"ΓΕΠ")</f>
        <v>0</v>
      </c>
      <c r="E20" s="11" t="n">
        <f aca="false">COUNTIF(N20:AO20,"ΕΞ")+COUNTIF(N20:AO20,"ΔΙΑΘ")+COUNTIF(N20:AO20,"ΕΥ")</f>
        <v>28</v>
      </c>
      <c r="F20" s="11" t="s">
        <v>86</v>
      </c>
      <c r="G20" s="14" t="n">
        <v>6900000010</v>
      </c>
      <c r="H20" s="11" t="s">
        <v>87</v>
      </c>
      <c r="I20" s="11" t="s">
        <v>46</v>
      </c>
      <c r="J20" s="11"/>
      <c r="K20" s="11" t="s">
        <v>73</v>
      </c>
      <c r="L20" s="11" t="s">
        <v>88</v>
      </c>
      <c r="M20" s="15" t="n">
        <v>45944</v>
      </c>
      <c r="N20" s="4" t="s">
        <v>52</v>
      </c>
      <c r="O20" s="4" t="s">
        <v>52</v>
      </c>
      <c r="P20" s="4" t="s">
        <v>52</v>
      </c>
      <c r="Q20" s="4" t="s">
        <v>52</v>
      </c>
      <c r="R20" s="4" t="s">
        <v>52</v>
      </c>
      <c r="S20" s="4" t="s">
        <v>52</v>
      </c>
      <c r="T20" s="4" t="s">
        <v>52</v>
      </c>
      <c r="U20" s="16" t="s">
        <v>52</v>
      </c>
      <c r="V20" s="16" t="s">
        <v>52</v>
      </c>
      <c r="W20" s="16" t="s">
        <v>52</v>
      </c>
      <c r="X20" s="16" t="s">
        <v>52</v>
      </c>
      <c r="Y20" s="4" t="s">
        <v>52</v>
      </c>
      <c r="Z20" s="16" t="s">
        <v>52</v>
      </c>
      <c r="AA20" s="16" t="s">
        <v>52</v>
      </c>
      <c r="AB20" s="16" t="s">
        <v>52</v>
      </c>
      <c r="AC20" s="10" t="s">
        <v>52</v>
      </c>
      <c r="AD20" s="10" t="s">
        <v>52</v>
      </c>
      <c r="AE20" s="10" t="s">
        <v>52</v>
      </c>
      <c r="AF20" s="10" t="s">
        <v>52</v>
      </c>
      <c r="AG20" s="4" t="s">
        <v>52</v>
      </c>
      <c r="AH20" s="4" t="s">
        <v>52</v>
      </c>
      <c r="AI20" s="4" t="s">
        <v>52</v>
      </c>
      <c r="AJ20" s="4" t="s">
        <v>52</v>
      </c>
      <c r="AK20" s="4" t="s">
        <v>52</v>
      </c>
      <c r="AL20" s="4" t="s">
        <v>52</v>
      </c>
      <c r="AM20" s="4" t="s">
        <v>52</v>
      </c>
      <c r="AN20" s="4" t="s">
        <v>52</v>
      </c>
      <c r="AO20" s="4" t="s">
        <v>52</v>
      </c>
      <c r="AQ20" s="10"/>
      <c r="AR20" s="10"/>
      <c r="AS20" s="10"/>
    </row>
    <row r="21" customFormat="false" ht="15" hidden="false" customHeight="false" outlineLevel="0" collapsed="false">
      <c r="A21" s="11" t="n">
        <v>10</v>
      </c>
      <c r="B21" s="2" t="s">
        <v>89</v>
      </c>
      <c r="C21" s="11" t="s">
        <v>90</v>
      </c>
      <c r="D21" s="11" t="n">
        <f aca="false">COUNTIF(N21:AO21,"ΣΚ1")+COUNTIF(N21:AO21,"ΣΚ2")+COUNTIF(N21:AO21,"ΣΚ3")+COUNTIF(N21:AO21,"ΘΑΛ1")+COUNTIF(N21:AO21,"ΘΑΛ2")+COUNTIF(N21:AO21,"ΘΑΛ3")+COUNTIF(N21:AO21,"ΛΥΛ")+COUNTIF(N21:AO21,"ΕΣΤ")+COUNTIF(N21:AO21,"ΓΕΠ")</f>
        <v>9</v>
      </c>
      <c r="E21" s="11" t="n">
        <f aca="false">COUNTIF(N21:AO21,"ΕΞ")+COUNTIF(N21:AO21,"ΔΙΑΘ")+COUNTIF(N21:AO21,"ΕΥ")</f>
        <v>7</v>
      </c>
      <c r="F21" s="11" t="s">
        <v>91</v>
      </c>
      <c r="G21" s="14" t="n">
        <v>6900000011</v>
      </c>
      <c r="H21" s="11" t="s">
        <v>37</v>
      </c>
      <c r="I21" s="11" t="s">
        <v>63</v>
      </c>
      <c r="J21" s="11"/>
      <c r="K21" s="11" t="s">
        <v>73</v>
      </c>
      <c r="L21" s="11" t="s">
        <v>40</v>
      </c>
      <c r="M21" s="15" t="n">
        <v>45996</v>
      </c>
      <c r="N21" s="4" t="s">
        <v>90</v>
      </c>
      <c r="O21" s="4" t="s">
        <v>90</v>
      </c>
      <c r="P21" s="4" t="s">
        <v>25</v>
      </c>
      <c r="Q21" s="4" t="s">
        <v>90</v>
      </c>
      <c r="R21" s="4" t="s">
        <v>90</v>
      </c>
      <c r="S21" s="4" t="s">
        <v>25</v>
      </c>
      <c r="T21" s="4" t="s">
        <v>90</v>
      </c>
      <c r="U21" s="16" t="s">
        <v>25</v>
      </c>
      <c r="V21" s="16" t="s">
        <v>90</v>
      </c>
      <c r="W21" s="16" t="s">
        <v>25</v>
      </c>
      <c r="X21" s="18" t="s">
        <v>25</v>
      </c>
      <c r="Y21" s="4" t="s">
        <v>25</v>
      </c>
      <c r="Z21" s="16" t="s">
        <v>41</v>
      </c>
      <c r="AA21" s="16" t="s">
        <v>41</v>
      </c>
      <c r="AB21" s="16" t="s">
        <v>41</v>
      </c>
      <c r="AC21" s="10" t="s">
        <v>41</v>
      </c>
      <c r="AD21" s="10" t="s">
        <v>41</v>
      </c>
      <c r="AE21" s="10" t="s">
        <v>41</v>
      </c>
      <c r="AF21" s="10" t="s">
        <v>41</v>
      </c>
      <c r="AG21" s="4" t="s">
        <v>41</v>
      </c>
      <c r="AH21" s="4" t="s">
        <v>41</v>
      </c>
      <c r="AI21" s="4" t="s">
        <v>41</v>
      </c>
      <c r="AJ21" s="4" t="s">
        <v>41</v>
      </c>
      <c r="AK21" s="4" t="s">
        <v>41</v>
      </c>
      <c r="AL21" s="4" t="s">
        <v>90</v>
      </c>
      <c r="AM21" s="4" t="s">
        <v>25</v>
      </c>
      <c r="AN21" s="4" t="s">
        <v>90</v>
      </c>
      <c r="AO21" s="4" t="s">
        <v>90</v>
      </c>
      <c r="AQ21" s="10"/>
      <c r="AR21" s="10"/>
      <c r="AS21" s="10"/>
    </row>
    <row r="22" customFormat="false" ht="15" hidden="false" customHeight="false" outlineLevel="0" collapsed="false">
      <c r="A22" s="11" t="n">
        <v>11</v>
      </c>
      <c r="B22" s="2" t="s">
        <v>92</v>
      </c>
      <c r="C22" s="11" t="s">
        <v>90</v>
      </c>
      <c r="D22" s="11" t="n">
        <f aca="false">COUNTIF(N22:AO22,"ΣΚ1")+COUNTIF(N22:AO22,"ΣΚ2")+COUNTIF(N22:AO22,"ΣΚ3")+COUNTIF(N22:AO22,"ΘΑΛ1")+COUNTIF(N22:AO22,"ΘΑΛ2")+COUNTIF(N22:AO22,"ΘΑΛ3")+COUNTIF(N22:AO22,"ΛΥΛ")+COUNTIF(N22:AO22,"ΕΣΤ")+COUNTIF(N22:AO22,"ΓΕΠ")</f>
        <v>13</v>
      </c>
      <c r="E22" s="11" t="n">
        <f aca="false">COUNTIF(N22:AO22,"ΕΞ")+COUNTIF(N22:AO22,"ΔΙΑΘ")+COUNTIF(N22:AO22,"ΕΥ")</f>
        <v>13</v>
      </c>
      <c r="F22" s="11" t="s">
        <v>93</v>
      </c>
      <c r="G22" s="14" t="n">
        <v>6900000012</v>
      </c>
      <c r="H22" s="11" t="s">
        <v>94</v>
      </c>
      <c r="I22" s="11" t="s">
        <v>46</v>
      </c>
      <c r="J22" s="11"/>
      <c r="K22" s="11" t="s">
        <v>73</v>
      </c>
      <c r="L22" s="11" t="s">
        <v>40</v>
      </c>
      <c r="M22" s="15" t="n">
        <v>46056</v>
      </c>
      <c r="N22" s="4" t="s">
        <v>49</v>
      </c>
      <c r="O22" s="4" t="s">
        <v>49</v>
      </c>
      <c r="P22" s="4" t="s">
        <v>83</v>
      </c>
      <c r="Q22" s="4" t="s">
        <v>25</v>
      </c>
      <c r="R22" s="4" t="s">
        <v>25</v>
      </c>
      <c r="S22" s="4" t="s">
        <v>90</v>
      </c>
      <c r="T22" s="4" t="s">
        <v>25</v>
      </c>
      <c r="U22" s="16" t="s">
        <v>90</v>
      </c>
      <c r="V22" s="16" t="s">
        <v>25</v>
      </c>
      <c r="W22" s="16" t="s">
        <v>90</v>
      </c>
      <c r="X22" s="4" t="s">
        <v>90</v>
      </c>
      <c r="Y22" s="16" t="s">
        <v>25</v>
      </c>
      <c r="Z22" s="16" t="s">
        <v>90</v>
      </c>
      <c r="AA22" s="16" t="s">
        <v>25</v>
      </c>
      <c r="AB22" s="16" t="s">
        <v>25</v>
      </c>
      <c r="AC22" s="10" t="s">
        <v>90</v>
      </c>
      <c r="AD22" s="10" t="s">
        <v>25</v>
      </c>
      <c r="AE22" s="10" t="s">
        <v>90</v>
      </c>
      <c r="AF22" s="10" t="s">
        <v>25</v>
      </c>
      <c r="AG22" s="4" t="s">
        <v>90</v>
      </c>
      <c r="AH22" s="4" t="s">
        <v>90</v>
      </c>
      <c r="AI22" s="4" t="s">
        <v>25</v>
      </c>
      <c r="AJ22" s="4" t="s">
        <v>90</v>
      </c>
      <c r="AK22" s="4" t="s">
        <v>90</v>
      </c>
      <c r="AL22" s="4" t="s">
        <v>25</v>
      </c>
      <c r="AM22" s="4" t="s">
        <v>90</v>
      </c>
      <c r="AN22" s="4" t="s">
        <v>25</v>
      </c>
      <c r="AO22" s="4" t="s">
        <v>25</v>
      </c>
      <c r="AQ22" s="10"/>
      <c r="AR22" s="10"/>
      <c r="AS22" s="10"/>
    </row>
    <row r="23" customFormat="false" ht="15" hidden="false" customHeight="false" outlineLevel="0" collapsed="false">
      <c r="A23" s="11" t="n">
        <v>12</v>
      </c>
      <c r="B23" s="2" t="s">
        <v>95</v>
      </c>
      <c r="C23" s="11" t="s">
        <v>90</v>
      </c>
      <c r="D23" s="11" t="n">
        <f aca="false">COUNTIF(N23:AO23,"ΣΚ1")+COUNTIF(N23:AO23,"ΣΚ2")+COUNTIF(N23:AO23,"ΣΚ3")+COUNTIF(N23:AO23,"ΘΑΛ1")+COUNTIF(N23:AO23,"ΘΑΛ2")+COUNTIF(N23:AO23,"ΘΑΛ3")+COUNTIF(N23:AO23,"ΛΥΛ")+COUNTIF(N23:AO23,"ΕΣΤ")+COUNTIF(N23:AO23,"ΓΕΠ")</f>
        <v>7</v>
      </c>
      <c r="E23" s="11" t="n">
        <f aca="false">COUNTIF(N23:AO23,"ΕΞ")+COUNTIF(N23:AO23,"ΔΙΑΘ")+COUNTIF(N23:AO23,"ΕΥ")</f>
        <v>8</v>
      </c>
      <c r="F23" s="11" t="s">
        <v>96</v>
      </c>
      <c r="G23" s="14" t="n">
        <v>6900000013</v>
      </c>
      <c r="H23" s="11" t="s">
        <v>37</v>
      </c>
      <c r="I23" s="11" t="s">
        <v>63</v>
      </c>
      <c r="J23" s="11"/>
      <c r="K23" s="11" t="s">
        <v>66</v>
      </c>
      <c r="L23" s="11" t="s">
        <v>88</v>
      </c>
      <c r="M23" s="15" t="n">
        <v>45961</v>
      </c>
      <c r="N23" s="4" t="s">
        <v>25</v>
      </c>
      <c r="O23" s="4" t="s">
        <v>25</v>
      </c>
      <c r="P23" s="4" t="s">
        <v>90</v>
      </c>
      <c r="Q23" s="4" t="s">
        <v>25</v>
      </c>
      <c r="R23" s="4" t="s">
        <v>25</v>
      </c>
      <c r="S23" s="4" t="s">
        <v>41</v>
      </c>
      <c r="T23" s="4" t="s">
        <v>41</v>
      </c>
      <c r="U23" s="16" t="s">
        <v>41</v>
      </c>
      <c r="V23" s="16" t="s">
        <v>41</v>
      </c>
      <c r="W23" s="16" t="s">
        <v>41</v>
      </c>
      <c r="X23" s="4" t="s">
        <v>25</v>
      </c>
      <c r="Y23" s="4" t="s">
        <v>90</v>
      </c>
      <c r="Z23" s="16" t="s">
        <v>25</v>
      </c>
      <c r="AA23" s="16" t="s">
        <v>90</v>
      </c>
      <c r="AB23" s="16" t="s">
        <v>90</v>
      </c>
      <c r="AC23" s="10" t="s">
        <v>25</v>
      </c>
      <c r="AD23" s="10" t="s">
        <v>90</v>
      </c>
      <c r="AE23" s="10" t="s">
        <v>25</v>
      </c>
      <c r="AF23" s="10" t="s">
        <v>90</v>
      </c>
      <c r="AG23" s="4" t="s">
        <v>41</v>
      </c>
      <c r="AH23" s="4" t="s">
        <v>41</v>
      </c>
      <c r="AI23" s="4" t="s">
        <v>90</v>
      </c>
      <c r="AJ23" s="4" t="s">
        <v>41</v>
      </c>
      <c r="AK23" s="4" t="s">
        <v>41</v>
      </c>
      <c r="AL23" s="4" t="s">
        <v>41</v>
      </c>
      <c r="AM23" s="4" t="s">
        <v>41</v>
      </c>
      <c r="AN23" s="4" t="s">
        <v>41</v>
      </c>
      <c r="AO23" s="4" t="s">
        <v>41</v>
      </c>
      <c r="AQ23" s="10"/>
      <c r="AR23" s="10"/>
      <c r="AS23" s="10"/>
    </row>
    <row r="24" customFormat="false" ht="15" hidden="false" customHeight="false" outlineLevel="0" collapsed="false">
      <c r="A24" s="11" t="n">
        <v>13</v>
      </c>
      <c r="B24" s="2" t="s">
        <v>97</v>
      </c>
      <c r="C24" s="11" t="s">
        <v>98</v>
      </c>
      <c r="D24" s="11" t="n">
        <f aca="false">COUNTIF(N24:AO24,"ΣΚ1")+COUNTIF(N24:AO24,"ΣΚ2")+COUNTIF(N24:AO24,"ΣΚ3")+COUNTIF(N24:AO24,"ΘΑΛ1")+COUNTIF(N24:AO24,"ΘΑΛ2")+COUNTIF(N24:AO24,"ΘΑΛ3")+COUNTIF(N24:AO24,"ΛΥΛ")+COUNTIF(N24:AO24,"ΕΣΤ")+COUNTIF(N24:AO24,"ΓΕΠ")</f>
        <v>3</v>
      </c>
      <c r="E24" s="11" t="n">
        <f aca="false">COUNTIF(N24:AO24,"ΕΞ")+COUNTIF(N24:AO24,"ΔΙΑΘ")+COUNTIF(N24:AO24,"ΕΥ")</f>
        <v>8</v>
      </c>
      <c r="F24" s="11" t="s">
        <v>99</v>
      </c>
      <c r="G24" s="14" t="n">
        <v>6900000014</v>
      </c>
      <c r="H24" s="11" t="s">
        <v>100</v>
      </c>
      <c r="I24" s="11" t="s">
        <v>46</v>
      </c>
      <c r="J24" s="11"/>
      <c r="K24" s="11" t="s">
        <v>101</v>
      </c>
      <c r="L24" s="11" t="s">
        <v>40</v>
      </c>
      <c r="M24" s="15" t="n">
        <v>45992</v>
      </c>
      <c r="N24" s="4" t="s">
        <v>102</v>
      </c>
      <c r="O24" s="4" t="s">
        <v>25</v>
      </c>
      <c r="P24" s="4" t="s">
        <v>25</v>
      </c>
      <c r="Q24" s="4" t="s">
        <v>102</v>
      </c>
      <c r="R24" s="4" t="s">
        <v>25</v>
      </c>
      <c r="S24" s="4" t="s">
        <v>25</v>
      </c>
      <c r="T24" s="4" t="s">
        <v>25</v>
      </c>
      <c r="U24" s="16" t="s">
        <v>25</v>
      </c>
      <c r="V24" s="16" t="s">
        <v>102</v>
      </c>
      <c r="W24" s="16" t="s">
        <v>25</v>
      </c>
      <c r="X24" s="16" t="s">
        <v>52</v>
      </c>
      <c r="Y24" s="4" t="s">
        <v>41</v>
      </c>
      <c r="Z24" s="16" t="s">
        <v>41</v>
      </c>
      <c r="AA24" s="16" t="s">
        <v>41</v>
      </c>
      <c r="AB24" s="16" t="s">
        <v>41</v>
      </c>
      <c r="AC24" s="10" t="s">
        <v>41</v>
      </c>
      <c r="AD24" s="10" t="s">
        <v>41</v>
      </c>
      <c r="AE24" s="10" t="s">
        <v>41</v>
      </c>
      <c r="AF24" s="10" t="s">
        <v>41</v>
      </c>
      <c r="AG24" s="4" t="s">
        <v>41</v>
      </c>
      <c r="AH24" s="4" t="s">
        <v>41</v>
      </c>
      <c r="AI24" s="4" t="s">
        <v>41</v>
      </c>
      <c r="AJ24" s="4" t="s">
        <v>41</v>
      </c>
      <c r="AK24" s="4" t="s">
        <v>41</v>
      </c>
      <c r="AL24" s="4"/>
      <c r="AM24" s="4"/>
      <c r="AN24" s="4"/>
      <c r="AO24" s="4"/>
      <c r="AQ24" s="10"/>
      <c r="AR24" s="10"/>
      <c r="AS24" s="10"/>
    </row>
    <row r="25" customFormat="false" ht="15" hidden="false" customHeight="false" outlineLevel="0" collapsed="false">
      <c r="A25" s="11" t="n">
        <v>14</v>
      </c>
      <c r="B25" s="2" t="s">
        <v>103</v>
      </c>
      <c r="C25" s="11" t="s">
        <v>54</v>
      </c>
      <c r="D25" s="11" t="n">
        <f aca="false">COUNTIF(N25:AO25,"ΣΚ1")+COUNTIF(N25:AO25,"ΣΚ2")+COUNTIF(N25:AO25,"ΣΚ3")+COUNTIF(N25:AO25,"ΘΑΛ1")+COUNTIF(N25:AO25,"ΘΑΛ2")+COUNTIF(N25:AO25,"ΘΑΛ3")+COUNTIF(N25:AO25,"ΛΥΛ")+COUNTIF(N25:AO25,"ΕΣΤ")+COUNTIF(N25:AO25,"ΓΕΠ")</f>
        <v>0</v>
      </c>
      <c r="E25" s="11" t="n">
        <f aca="false">COUNTIF(N25:AO25,"ΕΞ")+COUNTIF(N25:AO25,"ΔΙΑΘ")+COUNTIF(N25:AO25,"ΕΥ")</f>
        <v>9</v>
      </c>
      <c r="F25" s="11" t="s">
        <v>104</v>
      </c>
      <c r="G25" s="14" t="n">
        <v>6900000015</v>
      </c>
      <c r="H25" s="11" t="s">
        <v>105</v>
      </c>
      <c r="I25" s="11" t="s">
        <v>46</v>
      </c>
      <c r="J25" s="11"/>
      <c r="K25" s="11" t="s">
        <v>73</v>
      </c>
      <c r="L25" s="11" t="s">
        <v>40</v>
      </c>
      <c r="M25" s="15" t="n">
        <v>45973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41</v>
      </c>
      <c r="T25" s="4" t="s">
        <v>41</v>
      </c>
      <c r="U25" s="16" t="s">
        <v>41</v>
      </c>
      <c r="V25" s="16" t="s">
        <v>41</v>
      </c>
      <c r="W25" s="16" t="s">
        <v>41</v>
      </c>
      <c r="X25" s="16" t="s">
        <v>41</v>
      </c>
      <c r="Y25" s="4" t="s">
        <v>41</v>
      </c>
      <c r="Z25" s="16" t="s">
        <v>41</v>
      </c>
      <c r="AA25" s="16" t="s">
        <v>41</v>
      </c>
      <c r="AB25" s="16" t="s">
        <v>41</v>
      </c>
      <c r="AC25" s="10" t="s">
        <v>59</v>
      </c>
      <c r="AD25" s="10" t="s">
        <v>59</v>
      </c>
      <c r="AE25" s="10" t="s">
        <v>59</v>
      </c>
      <c r="AF25" s="10" t="s">
        <v>59</v>
      </c>
      <c r="AG25" s="4"/>
      <c r="AH25" s="4"/>
      <c r="AI25" s="4"/>
      <c r="AJ25" s="4"/>
      <c r="AK25" s="4"/>
      <c r="AL25" s="4"/>
      <c r="AM25" s="4"/>
      <c r="AN25" s="4"/>
      <c r="AO25" s="4"/>
      <c r="AQ25" s="10"/>
      <c r="AR25" s="10"/>
      <c r="AS25" s="10"/>
    </row>
    <row r="26" customFormat="false" ht="15" hidden="false" customHeight="false" outlineLevel="0" collapsed="false">
      <c r="A26" s="11" t="n">
        <v>15</v>
      </c>
      <c r="B26" s="2" t="s">
        <v>106</v>
      </c>
      <c r="C26" s="11" t="s">
        <v>61</v>
      </c>
      <c r="D26" s="11" t="n">
        <f aca="false">COUNTIF(N26:AO26,"ΣΚ1")+COUNTIF(N26:AO26,"ΣΚ2")+COUNTIF(N26:AO26,"ΣΚ3")+COUNTIF(N26:AO26,"ΘΑΛ1")+COUNTIF(N26:AO26,"ΘΑΛ2")+COUNTIF(N26:AO26,"ΘΑΛ3")+COUNTIF(N26:AO26,"ΛΥΛ")+COUNTIF(N26:AO26,"ΕΣΤ")+COUNTIF(N26:AO26,"ΓΕΠ")</f>
        <v>9</v>
      </c>
      <c r="E26" s="11" t="n">
        <f aca="false">COUNTIF(N26:AO26,"ΕΞ")+COUNTIF(N26:AO26,"ΔΙΑΘ")+COUNTIF(N26:AO26,"ΕΥ")</f>
        <v>7</v>
      </c>
      <c r="F26" s="11" t="s">
        <v>107</v>
      </c>
      <c r="G26" s="14" t="n">
        <v>6900000016</v>
      </c>
      <c r="H26" s="11" t="s">
        <v>108</v>
      </c>
      <c r="I26" s="11" t="s">
        <v>46</v>
      </c>
      <c r="J26" s="11"/>
      <c r="K26" s="11" t="s">
        <v>73</v>
      </c>
      <c r="L26" s="11" t="s">
        <v>40</v>
      </c>
      <c r="M26" s="15" t="n">
        <v>45978</v>
      </c>
      <c r="N26" s="4" t="s">
        <v>41</v>
      </c>
      <c r="O26" s="4" t="s">
        <v>41</v>
      </c>
      <c r="P26" s="4" t="s">
        <v>41</v>
      </c>
      <c r="Q26" s="4" t="s">
        <v>41</v>
      </c>
      <c r="R26" s="4" t="s">
        <v>109</v>
      </c>
      <c r="S26" s="4" t="s">
        <v>61</v>
      </c>
      <c r="T26" s="4" t="s">
        <v>25</v>
      </c>
      <c r="U26" s="16" t="s">
        <v>61</v>
      </c>
      <c r="V26" s="16" t="s">
        <v>25</v>
      </c>
      <c r="W26" s="16" t="s">
        <v>61</v>
      </c>
      <c r="X26" s="16" t="s">
        <v>25</v>
      </c>
      <c r="Y26" s="4" t="s">
        <v>83</v>
      </c>
      <c r="Z26" s="16" t="s">
        <v>25</v>
      </c>
      <c r="AA26" s="16" t="s">
        <v>61</v>
      </c>
      <c r="AB26" s="16" t="s">
        <v>25</v>
      </c>
      <c r="AC26" s="10" t="s">
        <v>83</v>
      </c>
      <c r="AD26" s="10" t="s">
        <v>25</v>
      </c>
      <c r="AE26" s="10" t="s">
        <v>61</v>
      </c>
      <c r="AF26" s="10" t="s">
        <v>25</v>
      </c>
      <c r="AG26" s="4" t="s">
        <v>61</v>
      </c>
      <c r="AH26" s="4"/>
      <c r="AI26" s="4"/>
      <c r="AJ26" s="4"/>
      <c r="AK26" s="4"/>
      <c r="AL26" s="4"/>
      <c r="AM26" s="4"/>
      <c r="AN26" s="4"/>
      <c r="AO26" s="4"/>
      <c r="AQ26" s="10"/>
      <c r="AR26" s="10"/>
      <c r="AS26" s="10"/>
    </row>
    <row r="27" customFormat="false" ht="15" hidden="false" customHeight="false" outlineLevel="0" collapsed="false">
      <c r="A27" s="11" t="n">
        <v>16</v>
      </c>
      <c r="B27" s="2" t="s">
        <v>110</v>
      </c>
      <c r="C27" s="11" t="s">
        <v>61</v>
      </c>
      <c r="D27" s="11" t="n">
        <f aca="false">COUNTIF(N27:AO27,"ΣΚ1")+COUNTIF(N27:AO27,"ΣΚ2")+COUNTIF(N27:AO27,"ΣΚ3")+COUNTIF(N27:AO27,"ΘΑΛ1")+COUNTIF(N27:AO27,"ΘΑΛ2")+COUNTIF(N27:AO27,"ΘΑΛ3")+COUNTIF(N27:AO27,"ΛΥΛ")+COUNTIF(N27:AO27,"ΕΣΤ")+COUNTIF(N27:AO27,"ΓΕΠ")</f>
        <v>6</v>
      </c>
      <c r="E27" s="11" t="n">
        <f aca="false">COUNTIF(N27:AO27,"ΕΞ")+COUNTIF(N27:AO27,"ΔΙΑΘ")+COUNTIF(N27:AO27,"ΕΥ")</f>
        <v>6</v>
      </c>
      <c r="F27" s="11" t="s">
        <v>111</v>
      </c>
      <c r="G27" s="14" t="n">
        <v>6900000017</v>
      </c>
      <c r="H27" s="11" t="s">
        <v>37</v>
      </c>
      <c r="I27" s="11" t="s">
        <v>46</v>
      </c>
      <c r="J27" s="11"/>
      <c r="K27" s="11" t="s">
        <v>112</v>
      </c>
      <c r="L27" s="11" t="s">
        <v>88</v>
      </c>
      <c r="M27" s="15" t="n">
        <v>45873</v>
      </c>
      <c r="N27" s="4" t="s">
        <v>61</v>
      </c>
      <c r="O27" s="4" t="s">
        <v>25</v>
      </c>
      <c r="P27" s="4" t="s">
        <v>61</v>
      </c>
      <c r="Q27" s="4" t="s">
        <v>61</v>
      </c>
      <c r="R27" s="4" t="s">
        <v>25</v>
      </c>
      <c r="S27" s="4" t="s">
        <v>25</v>
      </c>
      <c r="T27" s="4" t="s">
        <v>83</v>
      </c>
      <c r="U27" s="16" t="s">
        <v>25</v>
      </c>
      <c r="V27" s="16" t="s">
        <v>50</v>
      </c>
      <c r="W27" s="16" t="s">
        <v>25</v>
      </c>
      <c r="X27" s="16" t="s">
        <v>83</v>
      </c>
      <c r="Y27" s="4" t="s">
        <v>25</v>
      </c>
      <c r="Z27" s="16" t="s">
        <v>41</v>
      </c>
      <c r="AA27" s="16" t="s">
        <v>41</v>
      </c>
      <c r="AB27" s="16" t="s">
        <v>41</v>
      </c>
      <c r="AC27" s="10" t="s">
        <v>41</v>
      </c>
      <c r="AD27" s="10" t="s">
        <v>41</v>
      </c>
      <c r="AE27" s="10" t="s">
        <v>41</v>
      </c>
      <c r="AF27" s="10" t="s">
        <v>41</v>
      </c>
      <c r="AG27" s="4" t="s">
        <v>41</v>
      </c>
      <c r="AH27" s="4" t="s">
        <v>41</v>
      </c>
      <c r="AI27" s="4" t="s">
        <v>41</v>
      </c>
      <c r="AJ27" s="4" t="s">
        <v>41</v>
      </c>
      <c r="AK27" s="4"/>
      <c r="AL27" s="4"/>
      <c r="AM27" s="4"/>
      <c r="AN27" s="4"/>
      <c r="AO27" s="4"/>
      <c r="AQ27" s="10"/>
      <c r="AR27" s="10"/>
      <c r="AS27" s="10"/>
    </row>
    <row r="28" customFormat="false" ht="15" hidden="false" customHeight="false" outlineLevel="0" collapsed="false">
      <c r="A28" s="11" t="n">
        <v>17</v>
      </c>
      <c r="B28" s="2" t="s">
        <v>113</v>
      </c>
      <c r="C28" s="11" t="s">
        <v>61</v>
      </c>
      <c r="D28" s="11" t="n">
        <f aca="false">COUNTIF(N28:AO28,"ΣΚ1")+COUNTIF(N28:AO28,"ΣΚ2")+COUNTIF(N28:AO28,"ΣΚ3")+COUNTIF(N28:AO28,"ΘΑΛ1")+COUNTIF(N28:AO28,"ΘΑΛ2")+COUNTIF(N28:AO28,"ΘΑΛ3")+COUNTIF(N28:AO28,"ΛΥΛ")+COUNTIF(N28:AO28,"ΕΣΤ")+COUNTIF(N28:AO28,"ΓΕΠ")</f>
        <v>2</v>
      </c>
      <c r="E28" s="11" t="n">
        <f aca="false">COUNTIF(N28:AO28,"ΕΞ")+COUNTIF(N28:AO28,"ΔΙΑΘ")+COUNTIF(N28:AO28,"ΕΥ")</f>
        <v>3</v>
      </c>
      <c r="F28" s="11" t="s">
        <v>114</v>
      </c>
      <c r="G28" s="14" t="n">
        <v>6900000018</v>
      </c>
      <c r="H28" s="11" t="s">
        <v>37</v>
      </c>
      <c r="I28" s="11" t="s">
        <v>46</v>
      </c>
      <c r="J28" s="11"/>
      <c r="K28" s="11" t="s">
        <v>39</v>
      </c>
      <c r="L28" s="11" t="s">
        <v>57</v>
      </c>
      <c r="M28" s="15" t="n">
        <v>45824</v>
      </c>
      <c r="N28" s="4" t="s">
        <v>83</v>
      </c>
      <c r="O28" s="4" t="s">
        <v>25</v>
      </c>
      <c r="P28" s="4" t="s">
        <v>25</v>
      </c>
      <c r="Q28" s="4" t="s">
        <v>41</v>
      </c>
      <c r="R28" s="4" t="s">
        <v>41</v>
      </c>
      <c r="S28" s="4" t="s">
        <v>41</v>
      </c>
      <c r="T28" s="4" t="s">
        <v>41</v>
      </c>
      <c r="U28" s="16" t="s">
        <v>41</v>
      </c>
      <c r="V28" s="16" t="s">
        <v>41</v>
      </c>
      <c r="W28" s="16" t="s">
        <v>41</v>
      </c>
      <c r="X28" s="16" t="s">
        <v>41</v>
      </c>
      <c r="Y28" s="4" t="s">
        <v>41</v>
      </c>
      <c r="Z28" s="16" t="s">
        <v>41</v>
      </c>
      <c r="AA28" s="16" t="s">
        <v>41</v>
      </c>
      <c r="AB28" s="16" t="s">
        <v>41</v>
      </c>
      <c r="AC28" s="10" t="s">
        <v>41</v>
      </c>
      <c r="AD28" s="10" t="s">
        <v>41</v>
      </c>
      <c r="AE28" s="10" t="s">
        <v>41</v>
      </c>
      <c r="AF28" s="10" t="s">
        <v>83</v>
      </c>
      <c r="AG28" s="4" t="s">
        <v>25</v>
      </c>
      <c r="AH28" s="4" t="s">
        <v>49</v>
      </c>
      <c r="AI28" s="4" t="s">
        <v>49</v>
      </c>
      <c r="AJ28" s="4" t="s">
        <v>49</v>
      </c>
      <c r="AK28" s="4" t="s">
        <v>49</v>
      </c>
      <c r="AL28" s="4" t="s">
        <v>49</v>
      </c>
      <c r="AM28" s="4" t="s">
        <v>49</v>
      </c>
      <c r="AN28" s="4" t="s">
        <v>49</v>
      </c>
      <c r="AO28" s="4" t="s">
        <v>49</v>
      </c>
      <c r="AQ28" s="10"/>
      <c r="AR28" s="10"/>
      <c r="AS28" s="10"/>
    </row>
    <row r="29" s="10" customFormat="true" ht="15" hidden="false" customHeight="false" outlineLevel="0" collapsed="false">
      <c r="A29" s="11" t="n">
        <v>18</v>
      </c>
      <c r="B29" s="2" t="s">
        <v>115</v>
      </c>
      <c r="C29" s="11" t="s">
        <v>61</v>
      </c>
      <c r="D29" s="11" t="n">
        <f aca="false">COUNTIF(N29:AO29,"ΣΚ1")+COUNTIF(N29:AO29,"ΣΚ2")+COUNTIF(N29:AO29,"ΣΚ3")+COUNTIF(N29:AO29,"ΘΑΛ1")+COUNTIF(N29:AO29,"ΘΑΛ2")+COUNTIF(N29:AO29,"ΘΑΛ3")+COUNTIF(N29:AO29,"ΛΥΛ")+COUNTIF(N29:AO29,"ΕΣΤ")+COUNTIF(N29:AO29,"ΓΕΠ")</f>
        <v>12</v>
      </c>
      <c r="E29" s="11" t="n">
        <f aca="false">COUNTIF(N29:AO29,"ΕΞ")+COUNTIF(N29:AO29,"ΔΙΑΘ")+COUNTIF(N29:AO29,"ΕΥ")</f>
        <v>7</v>
      </c>
      <c r="F29" s="11" t="s">
        <v>116</v>
      </c>
      <c r="G29" s="14" t="n">
        <v>6900000019</v>
      </c>
      <c r="H29" s="11" t="s">
        <v>37</v>
      </c>
      <c r="I29" s="11" t="s">
        <v>117</v>
      </c>
      <c r="J29" s="11"/>
      <c r="K29" s="11" t="s">
        <v>39</v>
      </c>
      <c r="L29" s="11" t="s">
        <v>48</v>
      </c>
      <c r="M29" s="15" t="n">
        <v>45999</v>
      </c>
      <c r="N29" s="4" t="s">
        <v>109</v>
      </c>
      <c r="O29" s="4" t="s">
        <v>61</v>
      </c>
      <c r="P29" s="4" t="s">
        <v>102</v>
      </c>
      <c r="Q29" s="4" t="s">
        <v>25</v>
      </c>
      <c r="R29" s="4" t="s">
        <v>102</v>
      </c>
      <c r="S29" s="4" t="s">
        <v>25</v>
      </c>
      <c r="T29" s="4" t="s">
        <v>109</v>
      </c>
      <c r="U29" s="16" t="s">
        <v>25</v>
      </c>
      <c r="V29" s="16" t="s">
        <v>61</v>
      </c>
      <c r="W29" s="16" t="s">
        <v>102</v>
      </c>
      <c r="X29" s="16" t="s">
        <v>25</v>
      </c>
      <c r="Y29" s="4" t="s">
        <v>58</v>
      </c>
      <c r="Z29" s="16" t="s">
        <v>25</v>
      </c>
      <c r="AA29" s="16" t="s">
        <v>109</v>
      </c>
      <c r="AB29" s="16" t="s">
        <v>61</v>
      </c>
      <c r="AC29" s="10" t="s">
        <v>25</v>
      </c>
      <c r="AD29" s="10" t="s">
        <v>61</v>
      </c>
      <c r="AE29" s="10" t="s">
        <v>25</v>
      </c>
      <c r="AF29" s="10" t="s">
        <v>109</v>
      </c>
      <c r="AG29" s="4"/>
      <c r="AH29" s="4"/>
      <c r="AI29" s="4"/>
      <c r="AJ29" s="4"/>
      <c r="AK29" s="4"/>
      <c r="AL29" s="4"/>
      <c r="AM29" s="4"/>
      <c r="AN29" s="4"/>
      <c r="AO29" s="4"/>
      <c r="AP29" s="1"/>
    </row>
    <row r="30" customFormat="false" ht="15" hidden="false" customHeight="false" outlineLevel="0" collapsed="false">
      <c r="A30" s="11" t="n">
        <v>19</v>
      </c>
      <c r="B30" s="2" t="s">
        <v>118</v>
      </c>
      <c r="C30" s="11" t="s">
        <v>61</v>
      </c>
      <c r="D30" s="11" t="n">
        <f aca="false">COUNTIF(N30:AO30,"ΣΚ1")+COUNTIF(N30:AO30,"ΣΚ2")+COUNTIF(N30:AO30,"ΣΚ3")+COUNTIF(N30:AO30,"ΘΑΛ1")+COUNTIF(N30:AO30,"ΘΑΛ2")+COUNTIF(N30:AO30,"ΘΑΛ3")+COUNTIF(N30:AO30,"ΛΥΛ")+COUNTIF(N30:AO30,"ΕΣΤ")+COUNTIF(N30:AO30,"ΓΕΠ")</f>
        <v>11</v>
      </c>
      <c r="E30" s="11" t="n">
        <f aca="false">COUNTIF(N30:AO30,"ΕΞ")+COUNTIF(N30:AO30,"ΔΙΑΘ")+COUNTIF(N30:AO30,"ΕΥ")</f>
        <v>8</v>
      </c>
      <c r="F30" s="11" t="s">
        <v>119</v>
      </c>
      <c r="G30" s="14" t="n">
        <v>6900000020</v>
      </c>
      <c r="H30" s="11" t="s">
        <v>37</v>
      </c>
      <c r="I30" s="11" t="s">
        <v>63</v>
      </c>
      <c r="J30" s="11"/>
      <c r="K30" s="11" t="s">
        <v>39</v>
      </c>
      <c r="L30" s="11" t="s">
        <v>48</v>
      </c>
      <c r="M30" s="15" t="n">
        <v>46002</v>
      </c>
      <c r="N30" s="4" t="s">
        <v>25</v>
      </c>
      <c r="O30" s="4" t="s">
        <v>109</v>
      </c>
      <c r="P30" s="4" t="s">
        <v>25</v>
      </c>
      <c r="Q30" s="4" t="s">
        <v>109</v>
      </c>
      <c r="R30" s="4" t="s">
        <v>25</v>
      </c>
      <c r="S30" s="4" t="s">
        <v>102</v>
      </c>
      <c r="T30" s="4" t="s">
        <v>25</v>
      </c>
      <c r="U30" s="16" t="s">
        <v>109</v>
      </c>
      <c r="V30" s="16" t="s">
        <v>109</v>
      </c>
      <c r="W30" s="16" t="s">
        <v>25</v>
      </c>
      <c r="X30" s="16" t="s">
        <v>25</v>
      </c>
      <c r="Y30" s="4" t="s">
        <v>61</v>
      </c>
      <c r="Z30" s="16" t="s">
        <v>109</v>
      </c>
      <c r="AA30" s="16" t="s">
        <v>25</v>
      </c>
      <c r="AB30" s="16" t="s">
        <v>109</v>
      </c>
      <c r="AC30" s="10" t="s">
        <v>109</v>
      </c>
      <c r="AD30" s="10" t="s">
        <v>25</v>
      </c>
      <c r="AE30" s="10" t="s">
        <v>109</v>
      </c>
      <c r="AF30" s="10" t="s">
        <v>61</v>
      </c>
      <c r="AG30" s="4"/>
      <c r="AH30" s="4"/>
      <c r="AI30" s="4"/>
      <c r="AJ30" s="4"/>
      <c r="AK30" s="4"/>
      <c r="AL30" s="4"/>
      <c r="AM30" s="4"/>
      <c r="AN30" s="4"/>
      <c r="AO30" s="4"/>
      <c r="AQ30" s="10"/>
      <c r="AR30" s="10"/>
      <c r="AS30" s="10"/>
    </row>
    <row r="31" customFormat="false" ht="15" hidden="false" customHeight="false" outlineLevel="0" collapsed="false">
      <c r="A31" s="11" t="n">
        <v>20</v>
      </c>
      <c r="B31" s="2" t="s">
        <v>120</v>
      </c>
      <c r="C31" s="11" t="s">
        <v>121</v>
      </c>
      <c r="D31" s="11" t="n">
        <f aca="false">COUNTIF(N31:AO31,"ΣΚ1")+COUNTIF(N31:AO31,"ΣΚ2")+COUNTIF(N31:AO31,"ΣΚ3")+COUNTIF(N31:AO31,"ΘΑΛ1")+COUNTIF(N31:AO31,"ΘΑΛ2")+COUNTIF(N31:AO31,"ΘΑΛ3")+COUNTIF(N31:AO31,"ΛΥΛ")+COUNTIF(N31:AO31,"ΕΣΤ")+COUNTIF(N31:AO31,"ΓΕΠ")</f>
        <v>11</v>
      </c>
      <c r="E31" s="11" t="n">
        <f aca="false">COUNTIF(N31:AO31,"ΕΞ")+COUNTIF(N31:AO31,"ΔΙΑΘ")+COUNTIF(N31:AO31,"ΕΥ")</f>
        <v>13</v>
      </c>
      <c r="F31" s="11" t="s">
        <v>122</v>
      </c>
      <c r="G31" s="14" t="n">
        <v>6900000021</v>
      </c>
      <c r="H31" s="11" t="s">
        <v>37</v>
      </c>
      <c r="I31" s="11" t="s">
        <v>46</v>
      </c>
      <c r="J31" s="11"/>
      <c r="K31" s="11" t="s">
        <v>123</v>
      </c>
      <c r="L31" s="11" t="s">
        <v>40</v>
      </c>
      <c r="M31" s="15" t="n">
        <v>45936</v>
      </c>
      <c r="N31" s="4" t="s">
        <v>25</v>
      </c>
      <c r="O31" s="4" t="s">
        <v>51</v>
      </c>
      <c r="P31" s="4" t="s">
        <v>25</v>
      </c>
      <c r="Q31" s="4" t="s">
        <v>51</v>
      </c>
      <c r="R31" s="4" t="s">
        <v>25</v>
      </c>
      <c r="S31" s="4" t="s">
        <v>51</v>
      </c>
      <c r="T31" s="4" t="s">
        <v>25</v>
      </c>
      <c r="U31" s="16" t="s">
        <v>25</v>
      </c>
      <c r="V31" s="16" t="s">
        <v>51</v>
      </c>
      <c r="W31" s="16" t="s">
        <v>25</v>
      </c>
      <c r="X31" s="16" t="s">
        <v>51</v>
      </c>
      <c r="Y31" s="4" t="s">
        <v>25</v>
      </c>
      <c r="Z31" s="16" t="s">
        <v>83</v>
      </c>
      <c r="AA31" s="16" t="s">
        <v>25</v>
      </c>
      <c r="AB31" s="16" t="s">
        <v>25</v>
      </c>
      <c r="AC31" s="10" t="s">
        <v>51</v>
      </c>
      <c r="AD31" s="10" t="s">
        <v>25</v>
      </c>
      <c r="AE31" s="10" t="s">
        <v>51</v>
      </c>
      <c r="AF31" s="10" t="s">
        <v>51</v>
      </c>
      <c r="AG31" s="4" t="s">
        <v>25</v>
      </c>
      <c r="AH31" s="4" t="s">
        <v>41</v>
      </c>
      <c r="AI31" s="4" t="s">
        <v>41</v>
      </c>
      <c r="AJ31" s="4" t="s">
        <v>41</v>
      </c>
      <c r="AK31" s="4" t="s">
        <v>41</v>
      </c>
      <c r="AL31" s="4" t="s">
        <v>50</v>
      </c>
      <c r="AM31" s="4" t="s">
        <v>25</v>
      </c>
      <c r="AN31" s="4" t="s">
        <v>50</v>
      </c>
      <c r="AO31" s="4" t="s">
        <v>25</v>
      </c>
      <c r="AQ31" s="10"/>
      <c r="AR31" s="10"/>
      <c r="AS31" s="10"/>
    </row>
    <row r="32" s="10" customFormat="true" ht="15" hidden="false" customHeight="false" outlineLevel="0" collapsed="false">
      <c r="A32" s="11" t="n">
        <v>21</v>
      </c>
      <c r="B32" s="2" t="s">
        <v>124</v>
      </c>
      <c r="C32" s="11" t="s">
        <v>54</v>
      </c>
      <c r="D32" s="11" t="n">
        <f aca="false">COUNTIF(N32:AO32,"ΣΚ1")+COUNTIF(N32:AO32,"ΣΚ2")+COUNTIF(N32:AO32,"ΣΚ3")+COUNTIF(N32:AO32,"ΘΑΛ1")+COUNTIF(N32:AO32,"ΘΑΛ2")+COUNTIF(N32:AO32,"ΘΑΛ3")+COUNTIF(N32:AO32,"ΛΥΛ")+COUNTIF(N32:AO32,"ΕΣΤ")+COUNTIF(N32:AO32,"ΓΕΠ")</f>
        <v>6</v>
      </c>
      <c r="E32" s="11" t="n">
        <f aca="false">COUNTIF(N32:AO32,"ΕΞ")+COUNTIF(N32:AO32,"ΔΙΑΘ")+COUNTIF(N32:AO32,"ΕΥ")</f>
        <v>7</v>
      </c>
      <c r="F32" s="11" t="s">
        <v>125</v>
      </c>
      <c r="G32" s="14" t="n">
        <v>6900000022</v>
      </c>
      <c r="H32" s="11" t="s">
        <v>126</v>
      </c>
      <c r="I32" s="11" t="s">
        <v>46</v>
      </c>
      <c r="J32" s="11"/>
      <c r="K32" s="11" t="s">
        <v>78</v>
      </c>
      <c r="L32" s="11" t="s">
        <v>40</v>
      </c>
      <c r="M32" s="15" t="n">
        <v>46056</v>
      </c>
      <c r="N32" s="4" t="s">
        <v>49</v>
      </c>
      <c r="O32" s="4" t="s">
        <v>49</v>
      </c>
      <c r="P32" s="4" t="s">
        <v>25</v>
      </c>
      <c r="Q32" s="4" t="s">
        <v>83</v>
      </c>
      <c r="R32" s="4" t="s">
        <v>25</v>
      </c>
      <c r="S32" s="4" t="s">
        <v>83</v>
      </c>
      <c r="T32" s="4" t="s">
        <v>83</v>
      </c>
      <c r="U32" s="16" t="s">
        <v>25</v>
      </c>
      <c r="V32" s="16" t="s">
        <v>83</v>
      </c>
      <c r="W32" s="16" t="s">
        <v>25</v>
      </c>
      <c r="X32" s="16" t="s">
        <v>83</v>
      </c>
      <c r="Y32" s="4" t="s">
        <v>59</v>
      </c>
      <c r="Z32" s="16" t="s">
        <v>59</v>
      </c>
      <c r="AA32" s="16" t="s">
        <v>59</v>
      </c>
      <c r="AB32" s="16" t="s">
        <v>102</v>
      </c>
      <c r="AC32" s="16" t="s">
        <v>49</v>
      </c>
      <c r="AD32" s="16" t="s">
        <v>49</v>
      </c>
      <c r="AE32" s="16" t="s">
        <v>49</v>
      </c>
      <c r="AF32" s="16" t="s">
        <v>49</v>
      </c>
      <c r="AG32" s="16" t="s">
        <v>49</v>
      </c>
      <c r="AH32" s="16" t="s">
        <v>49</v>
      </c>
      <c r="AI32" s="16" t="s">
        <v>49</v>
      </c>
      <c r="AJ32" s="16" t="s">
        <v>49</v>
      </c>
      <c r="AK32" s="16" t="s">
        <v>49</v>
      </c>
      <c r="AL32" s="16" t="s">
        <v>49</v>
      </c>
      <c r="AM32" s="16" t="s">
        <v>49</v>
      </c>
      <c r="AN32" s="16" t="s">
        <v>49</v>
      </c>
      <c r="AO32" s="16" t="s">
        <v>49</v>
      </c>
      <c r="AP32" s="1"/>
    </row>
    <row r="33" customFormat="false" ht="15" hidden="false" customHeight="false" outlineLevel="0" collapsed="false">
      <c r="A33" s="11" t="n">
        <v>21</v>
      </c>
      <c r="B33" s="2" t="s">
        <v>127</v>
      </c>
      <c r="C33" s="11" t="s">
        <v>54</v>
      </c>
      <c r="D33" s="11" t="n">
        <f aca="false">COUNTIF(N33:AO33,"ΣΚ1")+COUNTIF(N33:AO33,"ΣΚ2")+COUNTIF(N33:AO33,"ΣΚ3")+COUNTIF(N33:AO33,"ΘΑΛ1")+COUNTIF(N33:AO33,"ΘΑΛ2")+COUNTIF(N33:AO33,"ΘΑΛ3")+COUNTIF(N33:AO33,"ΛΥΛ")+COUNTIF(N33:AO33,"ΕΣΤ")+COUNTIF(N33:AO33,"ΓΕΠ")</f>
        <v>2</v>
      </c>
      <c r="E33" s="11" t="n">
        <f aca="false">COUNTIF(N33:AO33,"ΕΞ")+COUNTIF(N33:AO33,"ΔΙΑΘ")+COUNTIF(N33:AO33,"ΕΥ")</f>
        <v>2</v>
      </c>
      <c r="F33" s="11" t="s">
        <v>128</v>
      </c>
      <c r="G33" s="14" t="n">
        <v>6900000023</v>
      </c>
      <c r="H33" s="11" t="s">
        <v>126</v>
      </c>
      <c r="I33" s="11" t="s">
        <v>46</v>
      </c>
      <c r="J33" s="11"/>
      <c r="K33" s="11" t="s">
        <v>78</v>
      </c>
      <c r="L33" s="11" t="s">
        <v>48</v>
      </c>
      <c r="M33" s="15" t="n">
        <v>46069</v>
      </c>
      <c r="N33" s="16" t="s">
        <v>49</v>
      </c>
      <c r="O33" s="16" t="s">
        <v>49</v>
      </c>
      <c r="P33" s="16" t="s">
        <v>49</v>
      </c>
      <c r="Q33" s="16" t="s">
        <v>49</v>
      </c>
      <c r="R33" s="16" t="s">
        <v>49</v>
      </c>
      <c r="S33" s="16" t="s">
        <v>49</v>
      </c>
      <c r="T33" s="16" t="s">
        <v>49</v>
      </c>
      <c r="U33" s="16" t="s">
        <v>49</v>
      </c>
      <c r="V33" s="16" t="s">
        <v>49</v>
      </c>
      <c r="W33" s="16" t="s">
        <v>49</v>
      </c>
      <c r="X33" s="16" t="s">
        <v>49</v>
      </c>
      <c r="Y33" s="16" t="s">
        <v>49</v>
      </c>
      <c r="Z33" s="16" t="s">
        <v>49</v>
      </c>
      <c r="AA33" s="16" t="s">
        <v>49</v>
      </c>
      <c r="AB33" s="16" t="s">
        <v>49</v>
      </c>
      <c r="AC33" s="1" t="s">
        <v>25</v>
      </c>
      <c r="AD33" s="1" t="s">
        <v>109</v>
      </c>
      <c r="AE33" s="1" t="s">
        <v>102</v>
      </c>
      <c r="AF33" s="1" t="s">
        <v>25</v>
      </c>
      <c r="AG33" s="16"/>
      <c r="AH33" s="4"/>
      <c r="AI33" s="16"/>
      <c r="AJ33" s="4"/>
      <c r="AK33" s="16"/>
      <c r="AL33" s="4"/>
      <c r="AM33" s="16"/>
      <c r="AN33" s="4"/>
      <c r="AO33" s="16"/>
      <c r="AQ33" s="1"/>
      <c r="AR33" s="1"/>
      <c r="AS33" s="1"/>
    </row>
    <row r="34" customFormat="false" ht="15" hidden="false" customHeight="false" outlineLevel="0" collapsed="false">
      <c r="A34" s="11" t="n">
        <v>22</v>
      </c>
      <c r="B34" s="2" t="s">
        <v>129</v>
      </c>
      <c r="C34" s="11" t="s">
        <v>98</v>
      </c>
      <c r="D34" s="11" t="n">
        <f aca="false">COUNTIF(N34:AO34,"ΣΚ1")+COUNTIF(N34:AO34,"ΣΚ2")+COUNTIF(N34:AO34,"ΣΚ3")+COUNTIF(N34:AO34,"ΘΑΛ1")+COUNTIF(N34:AO34,"ΘΑΛ2")+COUNTIF(N34:AO34,"ΘΑΛ3")+COUNTIF(N34:AO34,"ΛΥΛ")+COUNTIF(N34:AO34,"ΕΣΤ")+COUNTIF(N34:AO34,"ΓΕΠ")</f>
        <v>7</v>
      </c>
      <c r="E34" s="11" t="n">
        <f aca="false">COUNTIF(N34:AO34,"ΕΞ")+COUNTIF(N34:AO34,"ΔΙΑΘ")+COUNTIF(N34:AO34,"ΕΥ")</f>
        <v>10</v>
      </c>
      <c r="F34" s="11" t="s">
        <v>130</v>
      </c>
      <c r="G34" s="14" t="n">
        <v>6900000024</v>
      </c>
      <c r="H34" s="11" t="s">
        <v>131</v>
      </c>
      <c r="I34" s="11" t="s">
        <v>46</v>
      </c>
      <c r="J34" s="11"/>
      <c r="K34" s="11" t="s">
        <v>78</v>
      </c>
      <c r="L34" s="11" t="s">
        <v>88</v>
      </c>
      <c r="M34" s="15" t="n">
        <v>46056</v>
      </c>
      <c r="N34" s="4" t="s">
        <v>49</v>
      </c>
      <c r="O34" s="4" t="s">
        <v>49</v>
      </c>
      <c r="P34" s="4" t="s">
        <v>25</v>
      </c>
      <c r="Q34" s="4" t="s">
        <v>50</v>
      </c>
      <c r="R34" s="4" t="s">
        <v>25</v>
      </c>
      <c r="S34" s="4" t="s">
        <v>50</v>
      </c>
      <c r="T34" s="4" t="s">
        <v>25</v>
      </c>
      <c r="U34" s="16" t="s">
        <v>83</v>
      </c>
      <c r="V34" s="16" t="s">
        <v>25</v>
      </c>
      <c r="W34" s="16" t="s">
        <v>25</v>
      </c>
      <c r="X34" s="16" t="s">
        <v>102</v>
      </c>
      <c r="Y34" s="4" t="s">
        <v>102</v>
      </c>
      <c r="Z34" s="16" t="s">
        <v>25</v>
      </c>
      <c r="AA34" s="16" t="s">
        <v>25</v>
      </c>
      <c r="AB34" s="16" t="s">
        <v>25</v>
      </c>
      <c r="AC34" s="10" t="s">
        <v>25</v>
      </c>
      <c r="AD34" s="10" t="s">
        <v>102</v>
      </c>
      <c r="AE34" s="10" t="s">
        <v>25</v>
      </c>
      <c r="AF34" s="10" t="s">
        <v>102</v>
      </c>
      <c r="AG34" s="4"/>
      <c r="AH34" s="4"/>
      <c r="AI34" s="4"/>
      <c r="AJ34" s="4"/>
      <c r="AK34" s="4"/>
      <c r="AL34" s="4"/>
      <c r="AM34" s="4"/>
      <c r="AN34" s="4"/>
      <c r="AO34" s="4"/>
      <c r="AQ34" s="10"/>
      <c r="AR34" s="10"/>
      <c r="AS34" s="10"/>
    </row>
    <row r="35" customFormat="false" ht="15" hidden="false" customHeight="false" outlineLevel="0" collapsed="false">
      <c r="A35" s="11" t="n">
        <v>23</v>
      </c>
      <c r="B35" s="2" t="s">
        <v>132</v>
      </c>
      <c r="C35" s="11" t="s">
        <v>54</v>
      </c>
      <c r="D35" s="11" t="n">
        <f aca="false">COUNTIF(N35:AO35,"ΣΚ1")+COUNTIF(N35:AO35,"ΣΚ2")+COUNTIF(N35:AO35,"ΣΚ3")+COUNTIF(N35:AO35,"ΘΑΛ1")+COUNTIF(N35:AO35,"ΘΑΛ2")+COUNTIF(N35:AO35,"ΘΑΛ3")+COUNTIF(N35:AO35,"ΛΥΛ")+COUNTIF(N35:AO35,"ΕΣΤ")+COUNTIF(N35:AO35,"ΓΕΠ")</f>
        <v>7</v>
      </c>
      <c r="E35" s="11" t="n">
        <f aca="false">COUNTIF(N35:AO35,"ΕΞ")+COUNTIF(N35:AO35,"ΔΙΑΘ")+COUNTIF(N35:AO35,"ΕΥ")</f>
        <v>6</v>
      </c>
      <c r="F35" s="11" t="s">
        <v>133</v>
      </c>
      <c r="G35" s="14" t="n">
        <v>6900000025</v>
      </c>
      <c r="H35" s="11" t="s">
        <v>134</v>
      </c>
      <c r="I35" s="11" t="s">
        <v>46</v>
      </c>
      <c r="J35" s="11"/>
      <c r="K35" s="11" t="s">
        <v>135</v>
      </c>
      <c r="L35" s="11" t="s">
        <v>40</v>
      </c>
      <c r="M35" s="15" t="n">
        <v>46056</v>
      </c>
      <c r="N35" s="4" t="s">
        <v>49</v>
      </c>
      <c r="O35" s="4" t="s">
        <v>49</v>
      </c>
      <c r="P35" s="4" t="s">
        <v>50</v>
      </c>
      <c r="Q35" s="4" t="s">
        <v>25</v>
      </c>
      <c r="R35" s="4" t="s">
        <v>50</v>
      </c>
      <c r="S35" s="4" t="s">
        <v>25</v>
      </c>
      <c r="T35" s="4" t="s">
        <v>51</v>
      </c>
      <c r="U35" s="16" t="s">
        <v>25</v>
      </c>
      <c r="V35" s="16" t="s">
        <v>59</v>
      </c>
      <c r="W35" s="16" t="s">
        <v>59</v>
      </c>
      <c r="X35" s="16" t="s">
        <v>109</v>
      </c>
      <c r="Y35" s="4" t="s">
        <v>109</v>
      </c>
      <c r="Z35" s="16" t="s">
        <v>102</v>
      </c>
      <c r="AA35" s="16" t="s">
        <v>51</v>
      </c>
      <c r="AB35" s="16" t="s">
        <v>25</v>
      </c>
      <c r="AC35" s="16" t="s">
        <v>49</v>
      </c>
      <c r="AD35" s="16" t="s">
        <v>49</v>
      </c>
      <c r="AE35" s="16" t="s">
        <v>49</v>
      </c>
      <c r="AF35" s="19" t="s">
        <v>49</v>
      </c>
      <c r="AG35" s="16"/>
      <c r="AH35" s="4"/>
      <c r="AI35" s="16"/>
      <c r="AJ35" s="4"/>
      <c r="AK35" s="16"/>
      <c r="AL35" s="4"/>
      <c r="AM35" s="16"/>
      <c r="AN35" s="4"/>
      <c r="AO35" s="16"/>
      <c r="AQ35" s="10"/>
      <c r="AR35" s="10"/>
      <c r="AS35" s="10"/>
    </row>
    <row r="36" s="10" customFormat="true" ht="15" hidden="false" customHeight="false" outlineLevel="0" collapsed="false">
      <c r="A36" s="11" t="n">
        <v>23</v>
      </c>
      <c r="B36" s="2" t="s">
        <v>136</v>
      </c>
      <c r="C36" s="11" t="s">
        <v>54</v>
      </c>
      <c r="D36" s="11" t="n">
        <f aca="false">COUNTIF(N36:AO36,"ΣΚ1")+COUNTIF(N36:AO36,"ΣΚ2")+COUNTIF(N36:AO36,"ΣΚ3")+COUNTIF(N36:AO36,"ΘΑΛ1")+COUNTIF(N36:AO36,"ΘΑΛ2")+COUNTIF(N36:AO36,"ΘΑΛ3")+COUNTIF(N36:AO36,"ΛΥΛ")+COUNTIF(N36:AO36,"ΕΣΤ")+COUNTIF(N36:AO36,"ΓΕΠ")</f>
        <v>2</v>
      </c>
      <c r="E36" s="11" t="n">
        <f aca="false">COUNTIF(N36:AO36,"ΕΞ")+COUNTIF(N36:AO36,"ΔΙΑΘ")+COUNTIF(N36:AO36,"ΕΥ")</f>
        <v>2</v>
      </c>
      <c r="F36" s="11" t="s">
        <v>137</v>
      </c>
      <c r="G36" s="14" t="n">
        <v>6900000026</v>
      </c>
      <c r="H36" s="11" t="s">
        <v>134</v>
      </c>
      <c r="I36" s="11" t="s">
        <v>46</v>
      </c>
      <c r="J36" s="11"/>
      <c r="K36" s="11" t="s">
        <v>135</v>
      </c>
      <c r="L36" s="11" t="s">
        <v>48</v>
      </c>
      <c r="M36" s="15" t="n">
        <v>46069</v>
      </c>
      <c r="N36" s="4" t="s">
        <v>49</v>
      </c>
      <c r="O36" s="4" t="s">
        <v>49</v>
      </c>
      <c r="P36" s="4" t="s">
        <v>49</v>
      </c>
      <c r="Q36" s="4" t="s">
        <v>49</v>
      </c>
      <c r="R36" s="4" t="s">
        <v>49</v>
      </c>
      <c r="S36" s="4" t="s">
        <v>49</v>
      </c>
      <c r="T36" s="4" t="s">
        <v>49</v>
      </c>
      <c r="U36" s="4" t="s">
        <v>49</v>
      </c>
      <c r="V36" s="4" t="s">
        <v>49</v>
      </c>
      <c r="W36" s="4" t="s">
        <v>49</v>
      </c>
      <c r="X36" s="4" t="s">
        <v>49</v>
      </c>
      <c r="Y36" s="4" t="s">
        <v>49</v>
      </c>
      <c r="Z36" s="4" t="s">
        <v>49</v>
      </c>
      <c r="AA36" s="4" t="s">
        <v>49</v>
      </c>
      <c r="AB36" s="4" t="s">
        <v>49</v>
      </c>
      <c r="AC36" s="1" t="s">
        <v>50</v>
      </c>
      <c r="AD36" s="1" t="s">
        <v>25</v>
      </c>
      <c r="AE36" s="1" t="s">
        <v>50</v>
      </c>
      <c r="AF36" s="1" t="s">
        <v>25</v>
      </c>
      <c r="AG36" s="16"/>
      <c r="AH36" s="4"/>
      <c r="AI36" s="16"/>
      <c r="AJ36" s="4"/>
      <c r="AK36" s="16"/>
      <c r="AL36" s="4"/>
      <c r="AM36" s="16"/>
      <c r="AN36" s="4"/>
      <c r="AO36" s="16"/>
      <c r="AP36" s="1"/>
      <c r="AQ36" s="1"/>
      <c r="AR36" s="1"/>
      <c r="AS36" s="1"/>
    </row>
    <row r="37" s="10" customFormat="true" ht="15" hidden="false" customHeight="false" outlineLevel="0" collapsed="false">
      <c r="A37" s="11" t="n">
        <v>24</v>
      </c>
      <c r="B37" s="2" t="s">
        <v>138</v>
      </c>
      <c r="C37" s="11" t="s">
        <v>54</v>
      </c>
      <c r="D37" s="11" t="n">
        <f aca="false">COUNTIF(N37:AO37,"ΣΚ1")+COUNTIF(N37:AO37,"ΣΚ2")+COUNTIF(N37:AO37,"ΣΚ3")+COUNTIF(N37:AO37,"ΘΑΛ1")+COUNTIF(N37:AO37,"ΘΑΛ2")+COUNTIF(N37:AO37,"ΘΑΛ3")+COUNTIF(N37:AO37,"ΛΥΛ")+COUNTIF(N37:AO37,"ΕΣΤ")+COUNTIF(N37:AO37,"ΓΕΠ")</f>
        <v>7</v>
      </c>
      <c r="E37" s="11" t="n">
        <f aca="false">COUNTIF(N37:AO37,"ΕΞ")+COUNTIF(N37:AO37,"ΔΙΑΘ")+COUNTIF(N37:AO37,"ΕΥ")</f>
        <v>6</v>
      </c>
      <c r="F37" s="11" t="s">
        <v>139</v>
      </c>
      <c r="G37" s="14" t="n">
        <v>6900000027</v>
      </c>
      <c r="H37" s="11" t="s">
        <v>69</v>
      </c>
      <c r="I37" s="11" t="s">
        <v>46</v>
      </c>
      <c r="J37" s="11"/>
      <c r="K37" s="11" t="s">
        <v>47</v>
      </c>
      <c r="L37" s="11" t="s">
        <v>40</v>
      </c>
      <c r="M37" s="15" t="n">
        <v>46056</v>
      </c>
      <c r="N37" s="4" t="s">
        <v>49</v>
      </c>
      <c r="O37" s="4" t="s">
        <v>49</v>
      </c>
      <c r="P37" s="4" t="s">
        <v>109</v>
      </c>
      <c r="Q37" s="4" t="s">
        <v>83</v>
      </c>
      <c r="R37" s="4" t="s">
        <v>25</v>
      </c>
      <c r="S37" s="4" t="s">
        <v>83</v>
      </c>
      <c r="T37" s="4" t="s">
        <v>25</v>
      </c>
      <c r="U37" s="16" t="s">
        <v>50</v>
      </c>
      <c r="V37" s="16" t="s">
        <v>25</v>
      </c>
      <c r="W37" s="16" t="s">
        <v>50</v>
      </c>
      <c r="X37" s="16" t="s">
        <v>59</v>
      </c>
      <c r="Y37" s="4" t="s">
        <v>59</v>
      </c>
      <c r="Z37" s="16" t="s">
        <v>50</v>
      </c>
      <c r="AA37" s="16" t="s">
        <v>102</v>
      </c>
      <c r="AB37" s="16" t="s">
        <v>25</v>
      </c>
      <c r="AC37" s="16" t="s">
        <v>49</v>
      </c>
      <c r="AD37" s="16" t="s">
        <v>49</v>
      </c>
      <c r="AE37" s="16" t="s">
        <v>49</v>
      </c>
      <c r="AF37" s="19" t="s">
        <v>49</v>
      </c>
      <c r="AG37" s="16"/>
      <c r="AH37" s="4"/>
      <c r="AI37" s="16"/>
      <c r="AJ37" s="4"/>
      <c r="AK37" s="16"/>
      <c r="AL37" s="4"/>
      <c r="AM37" s="16"/>
      <c r="AN37" s="4"/>
      <c r="AO37" s="16"/>
      <c r="AP37" s="1"/>
    </row>
    <row r="38" customFormat="false" ht="15" hidden="false" customHeight="false" outlineLevel="0" collapsed="false">
      <c r="A38" s="11" t="n">
        <v>25</v>
      </c>
      <c r="B38" s="2" t="s">
        <v>140</v>
      </c>
      <c r="C38" s="11" t="s">
        <v>54</v>
      </c>
      <c r="D38" s="11" t="n">
        <f aca="false">COUNTIF(N38:AO38,"ΣΚ1")+COUNTIF(N38:AO38,"ΣΚ2")+COUNTIF(N38:AO38,"ΣΚ3")+COUNTIF(N38:AO38,"ΘΑΛ1")+COUNTIF(N38:AO38,"ΘΑΛ2")+COUNTIF(N38:AO38,"ΘΑΛ3")+COUNTIF(N38:AO38,"ΛΥΛ")+COUNTIF(N38:AO38,"ΕΣΤ")+COUNTIF(N38:AO38,"ΓΕΠ")</f>
        <v>8</v>
      </c>
      <c r="E38" s="11" t="n">
        <f aca="false">COUNTIF(N38:AO38,"ΕΞ")+COUNTIF(N38:AO38,"ΔΙΑΘ")+COUNTIF(N38:AO38,"ΕΥ")</f>
        <v>5</v>
      </c>
      <c r="F38" s="11" t="s">
        <v>141</v>
      </c>
      <c r="G38" s="14" t="n">
        <v>6900000028</v>
      </c>
      <c r="H38" s="11" t="s">
        <v>142</v>
      </c>
      <c r="I38" s="11" t="s">
        <v>46</v>
      </c>
      <c r="J38" s="11"/>
      <c r="K38" s="11" t="s">
        <v>73</v>
      </c>
      <c r="L38" s="11" t="s">
        <v>40</v>
      </c>
      <c r="M38" s="15" t="n">
        <v>46056</v>
      </c>
      <c r="N38" s="4" t="s">
        <v>49</v>
      </c>
      <c r="O38" s="4" t="s">
        <v>49</v>
      </c>
      <c r="P38" s="4" t="s">
        <v>83</v>
      </c>
      <c r="Q38" s="4" t="s">
        <v>25</v>
      </c>
      <c r="R38" s="4" t="s">
        <v>50</v>
      </c>
      <c r="S38" s="4" t="s">
        <v>25</v>
      </c>
      <c r="T38" s="4" t="s">
        <v>50</v>
      </c>
      <c r="U38" s="16" t="s">
        <v>25</v>
      </c>
      <c r="V38" s="16" t="s">
        <v>83</v>
      </c>
      <c r="W38" s="16" t="s">
        <v>83</v>
      </c>
      <c r="X38" s="16" t="s">
        <v>25</v>
      </c>
      <c r="Y38" s="4" t="s">
        <v>50</v>
      </c>
      <c r="Z38" s="16" t="s">
        <v>25</v>
      </c>
      <c r="AA38" s="16" t="s">
        <v>50</v>
      </c>
      <c r="AB38" s="16" t="s">
        <v>50</v>
      </c>
      <c r="AC38" s="16" t="s">
        <v>49</v>
      </c>
      <c r="AD38" s="16" t="s">
        <v>49</v>
      </c>
      <c r="AE38" s="16" t="s">
        <v>49</v>
      </c>
      <c r="AF38" s="19" t="s">
        <v>49</v>
      </c>
      <c r="AG38" s="16"/>
      <c r="AH38" s="4"/>
      <c r="AI38" s="16"/>
      <c r="AJ38" s="4"/>
      <c r="AK38" s="16"/>
      <c r="AL38" s="4"/>
      <c r="AM38" s="16"/>
      <c r="AN38" s="4"/>
      <c r="AO38" s="16"/>
      <c r="AQ38" s="10"/>
      <c r="AR38" s="10"/>
      <c r="AS38" s="10"/>
    </row>
    <row r="39" s="10" customFormat="true" ht="15" hidden="false" customHeight="false" outlineLevel="0" collapsed="false">
      <c r="A39" s="11" t="n">
        <v>26</v>
      </c>
      <c r="B39" s="2" t="s">
        <v>143</v>
      </c>
      <c r="C39" s="11" t="s">
        <v>54</v>
      </c>
      <c r="D39" s="11" t="n">
        <f aca="false">COUNTIF(N39:AO39,"ΣΚ1")+COUNTIF(N39:AO39,"ΣΚ2")+COUNTIF(N39:AO39,"ΣΚ3")+COUNTIF(N39:AO39,"ΘΑΛ1")+COUNTIF(N39:AO39,"ΘΑΛ2")+COUNTIF(N39:AO39,"ΘΑΛ3")+COUNTIF(N39:AO39,"ΛΥΛ")+COUNTIF(N39:AO39,"ΕΣΤ")+COUNTIF(N39:AO39,"ΓΕΠ")</f>
        <v>5</v>
      </c>
      <c r="E39" s="11" t="n">
        <f aca="false">COUNTIF(N39:AO39,"ΕΞ")+COUNTIF(N39:AO39,"ΔΙΑΘ")+COUNTIF(N39:AO39,"ΕΥ")</f>
        <v>8</v>
      </c>
      <c r="F39" s="11" t="s">
        <v>144</v>
      </c>
      <c r="G39" s="14" t="n">
        <v>6900000029</v>
      </c>
      <c r="H39" s="11" t="s">
        <v>134</v>
      </c>
      <c r="I39" s="11" t="s">
        <v>46</v>
      </c>
      <c r="J39" s="11"/>
      <c r="K39" s="11" t="s">
        <v>135</v>
      </c>
      <c r="L39" s="11" t="s">
        <v>40</v>
      </c>
      <c r="M39" s="15" t="n">
        <v>46056</v>
      </c>
      <c r="N39" s="4" t="s">
        <v>49</v>
      </c>
      <c r="O39" s="4" t="s">
        <v>49</v>
      </c>
      <c r="P39" s="4" t="s">
        <v>51</v>
      </c>
      <c r="Q39" s="4" t="s">
        <v>25</v>
      </c>
      <c r="R39" s="4" t="s">
        <v>83</v>
      </c>
      <c r="S39" s="4" t="s">
        <v>25</v>
      </c>
      <c r="T39" s="4" t="s">
        <v>102</v>
      </c>
      <c r="U39" s="16" t="s">
        <v>102</v>
      </c>
      <c r="V39" s="16" t="s">
        <v>25</v>
      </c>
      <c r="W39" s="16" t="s">
        <v>109</v>
      </c>
      <c r="X39" s="16" t="s">
        <v>25</v>
      </c>
      <c r="Y39" s="4" t="s">
        <v>59</v>
      </c>
      <c r="Z39" s="16" t="s">
        <v>59</v>
      </c>
      <c r="AA39" s="16" t="s">
        <v>59</v>
      </c>
      <c r="AB39" s="16" t="s">
        <v>59</v>
      </c>
      <c r="AC39" s="16" t="s">
        <v>49</v>
      </c>
      <c r="AD39" s="16" t="s">
        <v>49</v>
      </c>
      <c r="AE39" s="16" t="s">
        <v>49</v>
      </c>
      <c r="AF39" s="19" t="s">
        <v>49</v>
      </c>
      <c r="AG39" s="16"/>
      <c r="AH39" s="4"/>
      <c r="AI39" s="16"/>
      <c r="AJ39" s="4"/>
      <c r="AK39" s="16"/>
      <c r="AL39" s="4"/>
      <c r="AM39" s="16"/>
      <c r="AN39" s="4"/>
      <c r="AO39" s="16"/>
      <c r="AP39" s="1"/>
    </row>
    <row r="40" customFormat="false" ht="15" hidden="false" customHeight="false" outlineLevel="0" collapsed="false">
      <c r="A40" s="11" t="n">
        <v>24</v>
      </c>
      <c r="B40" s="2" t="s">
        <v>145</v>
      </c>
      <c r="C40" s="11" t="s">
        <v>54</v>
      </c>
      <c r="D40" s="11" t="n">
        <f aca="false">COUNTIF(N40:AO40,"ΣΚ1")+COUNTIF(N40:AO40,"ΣΚ2")+COUNTIF(N40:AO40,"ΣΚ3")+COUNTIF(N40:AO40,"ΘΑΛ1")+COUNTIF(N40:AO40,"ΘΑΛ2")+COUNTIF(N40:AO40,"ΘΑΛ3")+COUNTIF(N40:AO40,"ΛΥΛ")+COUNTIF(N40:AO40,"ΕΣΤ")+COUNTIF(N40:AO40,"ΓΕΠ")</f>
        <v>2</v>
      </c>
      <c r="E40" s="11" t="n">
        <f aca="false">COUNTIF(N40:AO40,"ΕΞ")+COUNTIF(N40:AO40,"ΔΙΑΘ")+COUNTIF(N40:AO40,"ΕΥ")</f>
        <v>2</v>
      </c>
      <c r="F40" s="11" t="s">
        <v>146</v>
      </c>
      <c r="G40" s="14" t="n">
        <v>6900000030</v>
      </c>
      <c r="H40" s="11" t="s">
        <v>142</v>
      </c>
      <c r="I40" s="11" t="s">
        <v>46</v>
      </c>
      <c r="J40" s="11"/>
      <c r="K40" s="11" t="s">
        <v>73</v>
      </c>
      <c r="L40" s="11" t="s">
        <v>48</v>
      </c>
      <c r="M40" s="15" t="n">
        <v>46069</v>
      </c>
      <c r="N40" s="16" t="s">
        <v>49</v>
      </c>
      <c r="O40" s="16" t="s">
        <v>49</v>
      </c>
      <c r="P40" s="16" t="s">
        <v>49</v>
      </c>
      <c r="Q40" s="16" t="s">
        <v>49</v>
      </c>
      <c r="R40" s="16" t="s">
        <v>49</v>
      </c>
      <c r="S40" s="16" t="s">
        <v>49</v>
      </c>
      <c r="T40" s="16" t="s">
        <v>49</v>
      </c>
      <c r="U40" s="16" t="s">
        <v>49</v>
      </c>
      <c r="V40" s="16" t="s">
        <v>49</v>
      </c>
      <c r="W40" s="16" t="s">
        <v>49</v>
      </c>
      <c r="X40" s="16" t="s">
        <v>49</v>
      </c>
      <c r="Y40" s="16" t="s">
        <v>49</v>
      </c>
      <c r="Z40" s="16" t="s">
        <v>49</v>
      </c>
      <c r="AA40" s="16" t="s">
        <v>49</v>
      </c>
      <c r="AB40" s="16" t="s">
        <v>49</v>
      </c>
      <c r="AC40" s="1" t="s">
        <v>83</v>
      </c>
      <c r="AD40" s="1" t="s">
        <v>25</v>
      </c>
      <c r="AE40" s="1" t="s">
        <v>50</v>
      </c>
      <c r="AF40" s="1" t="s">
        <v>25</v>
      </c>
      <c r="AG40" s="16"/>
      <c r="AH40" s="4"/>
      <c r="AI40" s="16"/>
      <c r="AJ40" s="4"/>
      <c r="AK40" s="16"/>
      <c r="AL40" s="4"/>
      <c r="AM40" s="16"/>
      <c r="AN40" s="4"/>
      <c r="AO40" s="4"/>
      <c r="AQ40" s="1"/>
      <c r="AR40" s="1"/>
      <c r="AS40" s="1"/>
    </row>
    <row r="41" s="10" customFormat="true" ht="15" hidden="false" customHeight="false" outlineLevel="0" collapsed="false">
      <c r="A41" s="11" t="n">
        <v>25</v>
      </c>
      <c r="B41" s="2" t="s">
        <v>147</v>
      </c>
      <c r="C41" s="11" t="s">
        <v>54</v>
      </c>
      <c r="D41" s="11" t="n">
        <f aca="false">COUNTIF(N41:AO41,"ΣΚ1")+COUNTIF(N41:AO41,"ΣΚ2")+COUNTIF(N41:AO41,"ΣΚ3")+COUNTIF(N41:AO41,"ΘΑΛ1")+COUNTIF(N41:AO41,"ΘΑΛ2")+COUNTIF(N41:AO41,"ΘΑΛ3")+COUNTIF(N41:AO41,"ΛΥΛ")+COUNTIF(N41:AO41,"ΕΣΤ")+COUNTIF(N41:AO41,"ΓΕΠ")</f>
        <v>2</v>
      </c>
      <c r="E41" s="11" t="n">
        <f aca="false">COUNTIF(N41:AO41,"ΕΞ")+COUNTIF(N41:AO41,"ΔΙΑΘ")+COUNTIF(N41:AO41,"ΕΥ")</f>
        <v>2</v>
      </c>
      <c r="F41" s="11" t="s">
        <v>148</v>
      </c>
      <c r="G41" s="14" t="n">
        <v>6900000031</v>
      </c>
      <c r="H41" s="11" t="s">
        <v>134</v>
      </c>
      <c r="I41" s="11" t="s">
        <v>46</v>
      </c>
      <c r="J41" s="11"/>
      <c r="K41" s="11" t="s">
        <v>135</v>
      </c>
      <c r="L41" s="11" t="s">
        <v>48</v>
      </c>
      <c r="M41" s="15" t="n">
        <v>46069</v>
      </c>
      <c r="N41" s="16" t="s">
        <v>49</v>
      </c>
      <c r="O41" s="16" t="s">
        <v>49</v>
      </c>
      <c r="P41" s="16" t="s">
        <v>49</v>
      </c>
      <c r="Q41" s="16" t="s">
        <v>49</v>
      </c>
      <c r="R41" s="16" t="s">
        <v>49</v>
      </c>
      <c r="S41" s="16" t="s">
        <v>49</v>
      </c>
      <c r="T41" s="16" t="s">
        <v>49</v>
      </c>
      <c r="U41" s="16" t="s">
        <v>49</v>
      </c>
      <c r="V41" s="16" t="s">
        <v>49</v>
      </c>
      <c r="W41" s="16" t="s">
        <v>49</v>
      </c>
      <c r="X41" s="16" t="s">
        <v>49</v>
      </c>
      <c r="Y41" s="16" t="s">
        <v>49</v>
      </c>
      <c r="Z41" s="16" t="s">
        <v>49</v>
      </c>
      <c r="AA41" s="16" t="s">
        <v>49</v>
      </c>
      <c r="AB41" s="16" t="s">
        <v>49</v>
      </c>
      <c r="AC41" s="1" t="s">
        <v>50</v>
      </c>
      <c r="AD41" s="1" t="s">
        <v>25</v>
      </c>
      <c r="AE41" s="1" t="s">
        <v>83</v>
      </c>
      <c r="AF41" s="1" t="s">
        <v>25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"/>
      <c r="AQ41" s="1"/>
      <c r="AR41" s="1"/>
      <c r="AS41" s="1"/>
    </row>
    <row r="42" s="10" customFormat="true" ht="15" hidden="false" customHeight="false" outlineLevel="0" collapsed="false">
      <c r="A42" s="11" t="n">
        <v>27</v>
      </c>
      <c r="B42" s="2" t="s">
        <v>149</v>
      </c>
      <c r="C42" s="11" t="s">
        <v>54</v>
      </c>
      <c r="D42" s="11" t="n">
        <f aca="false">COUNTIF(N42:AO42,"ΣΚ1")+COUNTIF(N42:AO42,"ΣΚ2")+COUNTIF(N42:AO42,"ΣΚ3")+COUNTIF(N42:AO42,"ΘΑΛ1")+COUNTIF(N42:AO42,"ΘΑΛ2")+COUNTIF(N42:AO42,"ΘΑΛ3")+COUNTIF(N42:AO42,"ΛΥΛ")+COUNTIF(N42:AO42,"ΕΣΤ")+COUNTIF(N42:AO42,"ΓΕΠ")</f>
        <v>8</v>
      </c>
      <c r="E42" s="11" t="n">
        <f aca="false">COUNTIF(N42:AO42,"ΕΞ")+COUNTIF(N42:AO42,"ΔΙΑΘ")+COUNTIF(N42:AO42,"ΕΥ")</f>
        <v>5</v>
      </c>
      <c r="F42" s="11" t="s">
        <v>150</v>
      </c>
      <c r="G42" s="14" t="n">
        <v>6900000032</v>
      </c>
      <c r="H42" s="11" t="s">
        <v>142</v>
      </c>
      <c r="I42" s="11" t="s">
        <v>46</v>
      </c>
      <c r="J42" s="11"/>
      <c r="K42" s="11" t="s">
        <v>73</v>
      </c>
      <c r="L42" s="11" t="s">
        <v>48</v>
      </c>
      <c r="M42" s="15" t="n">
        <v>46056</v>
      </c>
      <c r="N42" s="4" t="s">
        <v>49</v>
      </c>
      <c r="O42" s="4" t="s">
        <v>49</v>
      </c>
      <c r="P42" s="4" t="s">
        <v>50</v>
      </c>
      <c r="Q42" s="4" t="s">
        <v>25</v>
      </c>
      <c r="R42" s="4" t="s">
        <v>51</v>
      </c>
      <c r="S42" s="4" t="s">
        <v>25</v>
      </c>
      <c r="T42" s="4" t="s">
        <v>50</v>
      </c>
      <c r="U42" s="16" t="s">
        <v>25</v>
      </c>
      <c r="V42" s="16" t="s">
        <v>50</v>
      </c>
      <c r="W42" s="16" t="s">
        <v>25</v>
      </c>
      <c r="X42" s="16" t="s">
        <v>50</v>
      </c>
      <c r="Y42" s="4" t="s">
        <v>50</v>
      </c>
      <c r="Z42" s="16" t="s">
        <v>25</v>
      </c>
      <c r="AA42" s="16" t="s">
        <v>50</v>
      </c>
      <c r="AB42" s="16" t="s">
        <v>83</v>
      </c>
      <c r="AC42" s="16" t="s">
        <v>49</v>
      </c>
      <c r="AD42" s="16" t="s">
        <v>49</v>
      </c>
      <c r="AE42" s="16" t="s">
        <v>49</v>
      </c>
      <c r="AF42" s="19" t="s">
        <v>49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"/>
    </row>
    <row r="43" s="10" customFormat="true" ht="15" hidden="false" customHeight="false" outlineLevel="0" collapsed="false">
      <c r="A43" s="11" t="n">
        <v>26</v>
      </c>
      <c r="B43" s="2" t="s">
        <v>151</v>
      </c>
      <c r="C43" s="11" t="s">
        <v>54</v>
      </c>
      <c r="D43" s="11" t="n">
        <f aca="false">COUNTIF(N43:AO43,"ΣΚ1")+COUNTIF(N43:AO43,"ΣΚ2")+COUNTIF(N43:AO43,"ΣΚ3")+COUNTIF(N43:AO43,"ΘΑΛ1")+COUNTIF(N43:AO43,"ΘΑΛ2")+COUNTIF(N43:AO43,"ΘΑΛ3")+COUNTIF(N43:AO43,"ΛΥΛ")+COUNTIF(N43:AO43,"ΕΣΤ")+COUNTIF(N43:AO43,"ΓΕΠ")</f>
        <v>3</v>
      </c>
      <c r="E43" s="11" t="n">
        <f aca="false">COUNTIF(N43:AO43,"ΕΞ")+COUNTIF(N43:AO43,"ΔΙΑΘ")+COUNTIF(N43:AO43,"ΕΥ")</f>
        <v>1</v>
      </c>
      <c r="F43" s="11" t="s">
        <v>152</v>
      </c>
      <c r="G43" s="14" t="n">
        <v>6900000033</v>
      </c>
      <c r="H43" s="11" t="s">
        <v>142</v>
      </c>
      <c r="I43" s="11" t="s">
        <v>153</v>
      </c>
      <c r="J43" s="11"/>
      <c r="K43" s="11" t="s">
        <v>73</v>
      </c>
      <c r="L43" s="11" t="s">
        <v>48</v>
      </c>
      <c r="M43" s="15" t="n">
        <v>46069</v>
      </c>
      <c r="N43" s="16" t="s">
        <v>49</v>
      </c>
      <c r="O43" s="16" t="s">
        <v>49</v>
      </c>
      <c r="P43" s="16" t="s">
        <v>49</v>
      </c>
      <c r="Q43" s="16" t="s">
        <v>49</v>
      </c>
      <c r="R43" s="16" t="s">
        <v>49</v>
      </c>
      <c r="S43" s="16" t="s">
        <v>49</v>
      </c>
      <c r="T43" s="16" t="s">
        <v>49</v>
      </c>
      <c r="U43" s="16" t="s">
        <v>49</v>
      </c>
      <c r="V43" s="16" t="s">
        <v>49</v>
      </c>
      <c r="W43" s="16" t="s">
        <v>49</v>
      </c>
      <c r="X43" s="16" t="s">
        <v>49</v>
      </c>
      <c r="Y43" s="16" t="s">
        <v>49</v>
      </c>
      <c r="Z43" s="16" t="s">
        <v>49</v>
      </c>
      <c r="AA43" s="16" t="s">
        <v>49</v>
      </c>
      <c r="AB43" s="16" t="s">
        <v>49</v>
      </c>
      <c r="AC43" s="1" t="s">
        <v>102</v>
      </c>
      <c r="AD43" s="1" t="s">
        <v>50</v>
      </c>
      <c r="AE43" s="1" t="s">
        <v>25</v>
      </c>
      <c r="AF43" s="1" t="s">
        <v>50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"/>
      <c r="AQ43" s="1"/>
      <c r="AR43" s="1"/>
      <c r="AS43" s="1"/>
    </row>
    <row r="44" customFormat="false" ht="15" hidden="false" customHeight="false" outlineLevel="0" collapsed="false">
      <c r="A44" s="11" t="n">
        <v>28</v>
      </c>
      <c r="B44" s="2" t="s">
        <v>154</v>
      </c>
      <c r="C44" s="11" t="s">
        <v>54</v>
      </c>
      <c r="D44" s="11" t="n">
        <f aca="false">COUNTIF(N44:AO44,"ΣΚ1")+COUNTIF(N44:AO44,"ΣΚ2")+COUNTIF(N44:AO44,"ΣΚ3")+COUNTIF(N44:AO44,"ΘΑΛ1")+COUNTIF(N44:AO44,"ΘΑΛ2")+COUNTIF(N44:AO44,"ΘΑΛ3")+COUNTIF(N44:AO44,"ΛΥΛ")+COUNTIF(N44:AO44,"ΕΣΤ")+COUNTIF(N44:AO44,"ΓΕΠ")</f>
        <v>7</v>
      </c>
      <c r="E44" s="11" t="n">
        <f aca="false">COUNTIF(N44:AO44,"ΕΞ")+COUNTIF(N44:AO44,"ΔΙΑΘ")+COUNTIF(N44:AO44,"ΕΥ")</f>
        <v>6</v>
      </c>
      <c r="F44" s="11" t="s">
        <v>155</v>
      </c>
      <c r="G44" s="14" t="n">
        <v>6900000034</v>
      </c>
      <c r="H44" s="11" t="s">
        <v>131</v>
      </c>
      <c r="I44" s="11" t="s">
        <v>46</v>
      </c>
      <c r="J44" s="11"/>
      <c r="K44" s="11" t="s">
        <v>78</v>
      </c>
      <c r="L44" s="11" t="s">
        <v>40</v>
      </c>
      <c r="M44" s="15" t="n">
        <v>46056</v>
      </c>
      <c r="N44" s="4" t="s">
        <v>49</v>
      </c>
      <c r="O44" s="4" t="s">
        <v>49</v>
      </c>
      <c r="P44" s="4" t="s">
        <v>25</v>
      </c>
      <c r="Q44" s="4" t="s">
        <v>50</v>
      </c>
      <c r="R44" s="4" t="s">
        <v>25</v>
      </c>
      <c r="S44" s="4" t="s">
        <v>109</v>
      </c>
      <c r="T44" s="4" t="s">
        <v>25</v>
      </c>
      <c r="U44" s="16" t="s">
        <v>83</v>
      </c>
      <c r="V44" s="16" t="s">
        <v>25</v>
      </c>
      <c r="W44" s="16" t="s">
        <v>50</v>
      </c>
      <c r="X44" s="16" t="s">
        <v>50</v>
      </c>
      <c r="Y44" s="4" t="s">
        <v>25</v>
      </c>
      <c r="Z44" s="16" t="s">
        <v>50</v>
      </c>
      <c r="AA44" s="16" t="s">
        <v>25</v>
      </c>
      <c r="AB44" s="16" t="s">
        <v>50</v>
      </c>
      <c r="AC44" s="16" t="s">
        <v>49</v>
      </c>
      <c r="AD44" s="16" t="s">
        <v>49</v>
      </c>
      <c r="AE44" s="16" t="s">
        <v>49</v>
      </c>
      <c r="AF44" s="19" t="s">
        <v>49</v>
      </c>
      <c r="AG44" s="16"/>
      <c r="AH44" s="16"/>
      <c r="AI44" s="16"/>
      <c r="AJ44" s="16"/>
      <c r="AK44" s="16"/>
      <c r="AL44" s="16"/>
      <c r="AM44" s="16"/>
      <c r="AN44" s="16"/>
      <c r="AO44" s="16"/>
      <c r="AQ44" s="10"/>
      <c r="AR44" s="10"/>
      <c r="AS44" s="10"/>
    </row>
    <row r="45" customFormat="false" ht="15" hidden="false" customHeight="false" outlineLevel="0" collapsed="false">
      <c r="A45" s="11" t="n">
        <v>27</v>
      </c>
      <c r="B45" s="2" t="s">
        <v>156</v>
      </c>
      <c r="C45" s="11" t="s">
        <v>54</v>
      </c>
      <c r="D45" s="11" t="n">
        <f aca="false">COUNTIF(N45:AO45,"ΣΚ1")+COUNTIF(N45:AO45,"ΣΚ2")+COUNTIF(N45:AO45,"ΣΚ3")+COUNTIF(N45:AO45,"ΘΑΛ1")+COUNTIF(N45:AO45,"ΘΑΛ2")+COUNTIF(N45:AO45,"ΘΑΛ3")+COUNTIF(N45:AO45,"ΛΥΛ")+COUNTIF(N45:AO45,"ΕΣΤ")+COUNTIF(N45:AO45,"ΓΕΠ")</f>
        <v>2</v>
      </c>
      <c r="E45" s="11" t="n">
        <f aca="false">COUNTIF(N45:AO45,"ΕΞ")+COUNTIF(N45:AO45,"ΔΙΑΘ")+COUNTIF(N45:AO45,"ΕΥ")</f>
        <v>2</v>
      </c>
      <c r="F45" s="11" t="s">
        <v>157</v>
      </c>
      <c r="G45" s="14" t="n">
        <v>6900000035</v>
      </c>
      <c r="H45" s="11" t="s">
        <v>131</v>
      </c>
      <c r="I45" s="11" t="s">
        <v>46</v>
      </c>
      <c r="J45" s="11"/>
      <c r="K45" s="11" t="s">
        <v>78</v>
      </c>
      <c r="L45" s="11" t="s">
        <v>48</v>
      </c>
      <c r="M45" s="15" t="n">
        <v>46069</v>
      </c>
      <c r="N45" s="16" t="s">
        <v>49</v>
      </c>
      <c r="O45" s="16" t="s">
        <v>49</v>
      </c>
      <c r="P45" s="16" t="s">
        <v>49</v>
      </c>
      <c r="Q45" s="16" t="s">
        <v>49</v>
      </c>
      <c r="R45" s="16" t="s">
        <v>49</v>
      </c>
      <c r="S45" s="16" t="s">
        <v>49</v>
      </c>
      <c r="T45" s="16" t="s">
        <v>49</v>
      </c>
      <c r="U45" s="16" t="s">
        <v>49</v>
      </c>
      <c r="V45" s="16" t="s">
        <v>49</v>
      </c>
      <c r="W45" s="16" t="s">
        <v>49</v>
      </c>
      <c r="X45" s="16" t="s">
        <v>49</v>
      </c>
      <c r="Y45" s="16" t="s">
        <v>49</v>
      </c>
      <c r="Z45" s="16" t="s">
        <v>49</v>
      </c>
      <c r="AA45" s="16" t="s">
        <v>49</v>
      </c>
      <c r="AB45" s="16" t="s">
        <v>49</v>
      </c>
      <c r="AC45" s="1" t="s">
        <v>25</v>
      </c>
      <c r="AD45" s="1" t="s">
        <v>83</v>
      </c>
      <c r="AE45" s="1" t="s">
        <v>25</v>
      </c>
      <c r="AF45" s="1" t="s">
        <v>50</v>
      </c>
      <c r="AG45" s="16"/>
      <c r="AH45" s="16"/>
      <c r="AI45" s="16"/>
      <c r="AJ45" s="16"/>
      <c r="AK45" s="16"/>
      <c r="AL45" s="16"/>
      <c r="AM45" s="16"/>
      <c r="AN45" s="16"/>
      <c r="AO45" s="16"/>
      <c r="AQ45" s="1"/>
      <c r="AR45" s="1"/>
      <c r="AS45" s="1"/>
    </row>
    <row r="46" customFormat="false" ht="15" hidden="false" customHeight="false" outlineLevel="0" collapsed="false">
      <c r="A46" s="11" t="n">
        <v>29</v>
      </c>
      <c r="B46" s="2" t="s">
        <v>158</v>
      </c>
      <c r="C46" s="11" t="s">
        <v>54</v>
      </c>
      <c r="D46" s="11" t="n">
        <f aca="false">COUNTIF(N46:AO46,"ΣΚ1")+COUNTIF(N46:AO46,"ΣΚ2")+COUNTIF(N46:AO46,"ΣΚ3")+COUNTIF(N46:AO46,"ΘΑΛ1")+COUNTIF(N46:AO46,"ΘΑΛ2")+COUNTIF(N46:AO46,"ΘΑΛ3")+COUNTIF(N46:AO46,"ΛΥΛ")+COUNTIF(N46:AO46,"ΕΣΤ")+COUNTIF(N46:AO46,"ΓΕΠ")</f>
        <v>1</v>
      </c>
      <c r="E46" s="11" t="n">
        <f aca="false">COUNTIF(N46:AO46,"ΕΞ")+COUNTIF(N46:AO46,"ΔΙΑΘ")+COUNTIF(N46:AO46,"ΕΥ")</f>
        <v>0</v>
      </c>
      <c r="F46" s="11" t="s">
        <v>159</v>
      </c>
      <c r="G46" s="14" t="n">
        <v>6900000036</v>
      </c>
      <c r="H46" s="11" t="s">
        <v>72</v>
      </c>
      <c r="I46" s="11" t="s">
        <v>160</v>
      </c>
      <c r="J46" s="11"/>
      <c r="K46" s="11" t="s">
        <v>78</v>
      </c>
      <c r="L46" s="11" t="s">
        <v>40</v>
      </c>
      <c r="M46" s="15" t="n">
        <v>46065</v>
      </c>
      <c r="N46" s="4" t="s">
        <v>49</v>
      </c>
      <c r="O46" s="4" t="s">
        <v>49</v>
      </c>
      <c r="P46" s="4" t="s">
        <v>49</v>
      </c>
      <c r="Q46" s="4" t="s">
        <v>49</v>
      </c>
      <c r="R46" s="4" t="s">
        <v>49</v>
      </c>
      <c r="S46" s="4" t="s">
        <v>49</v>
      </c>
      <c r="T46" s="4" t="s">
        <v>49</v>
      </c>
      <c r="U46" s="4" t="s">
        <v>49</v>
      </c>
      <c r="V46" s="4" t="s">
        <v>49</v>
      </c>
      <c r="W46" s="4" t="s">
        <v>49</v>
      </c>
      <c r="X46" s="4" t="s">
        <v>49</v>
      </c>
      <c r="Y46" s="4" t="s">
        <v>51</v>
      </c>
      <c r="Z46" s="4" t="s">
        <v>49</v>
      </c>
      <c r="AA46" s="4" t="s">
        <v>49</v>
      </c>
      <c r="AB46" s="4" t="s">
        <v>49</v>
      </c>
      <c r="AC46" s="4" t="s">
        <v>49</v>
      </c>
      <c r="AD46" s="4" t="s">
        <v>49</v>
      </c>
      <c r="AE46" s="4" t="s">
        <v>49</v>
      </c>
      <c r="AF46" s="20" t="s">
        <v>49</v>
      </c>
      <c r="AG46" s="4"/>
      <c r="AH46" s="4"/>
      <c r="AI46" s="4"/>
      <c r="AJ46" s="4"/>
      <c r="AK46" s="4"/>
      <c r="AL46" s="4"/>
      <c r="AM46" s="4"/>
      <c r="AN46" s="4"/>
      <c r="AO46" s="4"/>
      <c r="AQ46" s="1"/>
      <c r="AR46" s="1"/>
      <c r="AS46" s="1"/>
    </row>
    <row r="47" customFormat="false" ht="15" hidden="false" customHeight="false" outlineLevel="0" collapsed="false">
      <c r="A47" s="11" t="n">
        <v>28</v>
      </c>
      <c r="B47" s="2" t="s">
        <v>161</v>
      </c>
      <c r="C47" s="11" t="s">
        <v>54</v>
      </c>
      <c r="D47" s="11" t="n">
        <f aca="false">COUNTIF(N47:AO47,"ΣΚ1")+COUNTIF(N47:AO47,"ΣΚ2")+COUNTIF(N47:AO47,"ΣΚ3")+COUNTIF(N47:AO47,"ΘΑΛ1")+COUNTIF(N47:AO47,"ΘΑΛ2")+COUNTIF(N47:AO47,"ΘΑΛ3")+COUNTIF(N47:AO47,"ΛΥΛ")+COUNTIF(N47:AO47,"ΕΣΤ")+COUNTIF(N47:AO47,"ΓΕΠ")</f>
        <v>4</v>
      </c>
      <c r="E47" s="11" t="n">
        <f aca="false">COUNTIF(N47:AO47,"ΕΞ")+COUNTIF(N47:AO47,"ΔΙΑΘ")+COUNTIF(N47:AO47,"ΕΥ")</f>
        <v>5</v>
      </c>
      <c r="F47" s="11" t="s">
        <v>162</v>
      </c>
      <c r="G47" s="14" t="n">
        <v>6900000037</v>
      </c>
      <c r="H47" s="11" t="s">
        <v>72</v>
      </c>
      <c r="I47" s="11" t="s">
        <v>160</v>
      </c>
      <c r="J47" s="11"/>
      <c r="K47" s="11" t="s">
        <v>163</v>
      </c>
      <c r="L47" s="11" t="s">
        <v>40</v>
      </c>
      <c r="M47" s="15" t="n">
        <v>46066</v>
      </c>
      <c r="N47" s="4" t="s">
        <v>49</v>
      </c>
      <c r="O47" s="4" t="s">
        <v>49</v>
      </c>
      <c r="P47" s="4" t="s">
        <v>49</v>
      </c>
      <c r="Q47" s="4" t="s">
        <v>49</v>
      </c>
      <c r="R47" s="4" t="s">
        <v>49</v>
      </c>
      <c r="S47" s="4" t="s">
        <v>49</v>
      </c>
      <c r="T47" s="4" t="s">
        <v>49</v>
      </c>
      <c r="U47" s="4" t="s">
        <v>49</v>
      </c>
      <c r="V47" s="4" t="s">
        <v>49</v>
      </c>
      <c r="W47" s="4" t="s">
        <v>49</v>
      </c>
      <c r="X47" s="4" t="s">
        <v>49</v>
      </c>
      <c r="Y47" s="4" t="s">
        <v>49</v>
      </c>
      <c r="Z47" s="16" t="s">
        <v>83</v>
      </c>
      <c r="AA47" s="16" t="s">
        <v>83</v>
      </c>
      <c r="AB47" s="16" t="s">
        <v>83</v>
      </c>
      <c r="AC47" s="1" t="s">
        <v>25</v>
      </c>
      <c r="AD47" s="1" t="s">
        <v>25</v>
      </c>
      <c r="AE47" s="1" t="s">
        <v>25</v>
      </c>
      <c r="AF47" s="1" t="s">
        <v>25</v>
      </c>
      <c r="AG47" s="4" t="s">
        <v>50</v>
      </c>
      <c r="AH47" s="4" t="s">
        <v>25</v>
      </c>
      <c r="AI47" s="4"/>
      <c r="AJ47" s="4"/>
      <c r="AK47" s="4"/>
      <c r="AL47" s="4"/>
      <c r="AM47" s="4"/>
      <c r="AN47" s="4"/>
      <c r="AO47" s="4"/>
      <c r="AQ47" s="1"/>
      <c r="AR47" s="1"/>
      <c r="AS47" s="1"/>
    </row>
    <row r="48" customFormat="false" ht="15" hidden="false" customHeight="false" outlineLevel="0" collapsed="false">
      <c r="A48" s="11" t="n">
        <v>29</v>
      </c>
      <c r="B48" s="2" t="s">
        <v>164</v>
      </c>
      <c r="C48" s="11" t="s">
        <v>165</v>
      </c>
      <c r="D48" s="11" t="n">
        <f aca="false">COUNTIF(N48:AO48,"ΣΚ1")+COUNTIF(N48:AO48,"ΣΚ2")+COUNTIF(N48:AO48,"ΣΚ3")+COUNTIF(N48:AO48,"ΘΑΛ1")+COUNTIF(N48:AO48,"ΘΑΛ2")+COUNTIF(N48:AO48,"ΘΑΛ3")+COUNTIF(N48:AO48,"ΛΥΛ")+COUNTIF(N48:AO48,"ΕΣΤ")+COUNTIF(N48:AO48,"ΓΕΠ")</f>
        <v>9</v>
      </c>
      <c r="E48" s="11" t="n">
        <f aca="false">COUNTIF(N48:AO48,"ΕΞ")+COUNTIF(N48:AO48,"ΔΙΑΘ")+COUNTIF(N48:AO48,"ΕΥ")</f>
        <v>8</v>
      </c>
      <c r="F48" s="11" t="s">
        <v>166</v>
      </c>
      <c r="G48" s="14" t="n">
        <v>6900000038</v>
      </c>
      <c r="H48" s="11" t="s">
        <v>167</v>
      </c>
      <c r="I48" s="11" t="s">
        <v>46</v>
      </c>
      <c r="J48" s="11"/>
      <c r="K48" s="11" t="s">
        <v>135</v>
      </c>
      <c r="L48" s="11" t="s">
        <v>40</v>
      </c>
      <c r="M48" s="15" t="n">
        <v>45980</v>
      </c>
      <c r="N48" s="4" t="s">
        <v>41</v>
      </c>
      <c r="O48" s="4" t="s">
        <v>41</v>
      </c>
      <c r="P48" s="4" t="s">
        <v>41</v>
      </c>
      <c r="Q48" s="4" t="s">
        <v>41</v>
      </c>
      <c r="R48" s="4" t="s">
        <v>83</v>
      </c>
      <c r="S48" s="4" t="s">
        <v>25</v>
      </c>
      <c r="T48" s="4" t="s">
        <v>41</v>
      </c>
      <c r="U48" s="16" t="s">
        <v>51</v>
      </c>
      <c r="V48" s="16" t="s">
        <v>25</v>
      </c>
      <c r="W48" s="16" t="s">
        <v>83</v>
      </c>
      <c r="X48" s="16" t="s">
        <v>25</v>
      </c>
      <c r="Y48" s="4" t="s">
        <v>83</v>
      </c>
      <c r="Z48" s="16" t="s">
        <v>25</v>
      </c>
      <c r="AA48" s="16" t="s">
        <v>83</v>
      </c>
      <c r="AB48" s="16" t="s">
        <v>51</v>
      </c>
      <c r="AC48" s="10" t="s">
        <v>25</v>
      </c>
      <c r="AD48" s="10" t="s">
        <v>83</v>
      </c>
      <c r="AE48" s="10" t="s">
        <v>83</v>
      </c>
      <c r="AF48" s="10" t="s">
        <v>25</v>
      </c>
      <c r="AG48" s="1" t="s">
        <v>83</v>
      </c>
      <c r="AH48" s="1" t="s">
        <v>25</v>
      </c>
      <c r="AI48" s="1" t="s">
        <v>25</v>
      </c>
      <c r="AQ48" s="10"/>
      <c r="AR48" s="10"/>
      <c r="AS48" s="10"/>
    </row>
    <row r="49" customFormat="false" ht="15" hidden="false" customHeight="false" outlineLevel="0" collapsed="false"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customFormat="false" ht="15" hidden="false" customHeight="false" outlineLevel="0" collapsed="false">
      <c r="B50" s="1" t="s">
        <v>168</v>
      </c>
      <c r="C50" s="1" t="s">
        <v>169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 t="s">
        <v>51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customFormat="false" ht="15" hidden="false" customHeight="false" outlineLevel="0" collapsed="false">
      <c r="B51" s="1" t="s">
        <v>170</v>
      </c>
      <c r="C51" s="1" t="s">
        <v>169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 t="s">
        <v>171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customFormat="false" ht="15" hidden="false" customHeight="false" outlineLevel="0" collapsed="false">
      <c r="B52" s="21" t="s">
        <v>49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customFormat="false" ht="15" hidden="false" customHeight="false" outlineLevel="0" collapsed="false"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customFormat="false" ht="15" hidden="false" customHeight="false" outlineLevel="0" collapsed="false"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customFormat="false" ht="15" hidden="false" customHeight="false" outlineLevel="0" collapsed="false"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customFormat="false" ht="15" hidden="false" customHeight="false" outlineLevel="0" collapsed="false"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customFormat="false" ht="15" hidden="false" customHeight="false" outlineLevel="0" collapsed="false"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customFormat="false" ht="15" hidden="false" customHeight="false" outlineLevel="0" collapsed="false"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customFormat="false" ht="15" hidden="false" customHeight="false" outlineLevel="0" collapsed="false"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customFormat="false" ht="15" hidden="false" customHeight="false" outlineLevel="0" collapsed="false"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</sheetData>
  <conditionalFormatting sqref="N49:V49 X49:AS49 N50:AS60 N10:AS48">
    <cfRule type="expression" priority="2" aboveAverage="0" equalAverage="0" bottom="0" percent="0" rank="0" text="" dxfId="0">
      <formula>OR(N10="ΛΥΛ", N10="ΕΣΤ", N10="ΔΙΑΘ", N10="ΚΥΛ", N10="ΔΠΒ")</formula>
    </cfRule>
    <cfRule type="expression" priority="3" aboveAverage="0" equalAverage="0" bottom="0" percent="0" rank="0" text="" dxfId="1">
      <formula>OR(N10="ΑΔΕΙΑ")</formula>
    </cfRule>
    <cfRule type="expression" priority="4" aboveAverage="0" equalAverage="0" bottom="0" percent="0" rank="0" text="" dxfId="2">
      <formula>OR(N10="ΕΞ")</formula>
    </cfRule>
    <cfRule type="expression" priority="5" aboveAverage="0" equalAverage="0" bottom="0" percent="0" rank="0" text="" dxfId="3">
      <formula>OR(N10="ΣΚ1", N10="ΣΚ2", N10="ΣΚ3")</formula>
    </cfRule>
    <cfRule type="expression" priority="6" aboveAverage="0" equalAverage="0" bottom="0" percent="0" rank="0" text="" dxfId="4">
      <formula>OR(N10="ΘΑΛ1", N10="ΘΑΛ2", N10="ΘΑΛ3")</formula>
    </cfRule>
    <cfRule type="expression" priority="7" aboveAverage="0" equalAverage="0" bottom="0" percent="0" rank="0" text="" dxfId="5">
      <formula>OR(N10="ΓΕΠ")</formula>
    </cfRule>
  </conditionalFormatting>
  <conditionalFormatting sqref="A49:V49 X49:AS49 A50:AS60 H10:AS48 A10:A48 C10:F48">
    <cfRule type="expression" priority="8" aboveAverage="0" equalAverage="0" bottom="0" percent="0" rank="0" text="" dxfId="6">
      <formula>OR(A10="ΤΕΛΟΣ", A10="ΥΠΟΓ")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2026-02-07T12:37:25Z</dcterms:created>
  <dc:creator>stratologos</dc:creator>
  <dc:description/>
  <dc:language>el-GR</dc:language>
  <cp:lastModifiedBy/>
  <cp:lastPrinted>2026-02-16T06:29:19Z</cp:lastPrinted>
  <dcterms:modified xsi:type="dcterms:W3CDTF">2026-03-28T21:25:46Z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